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Programming\webdev\portfolio\static\data\"/>
    </mc:Choice>
  </mc:AlternateContent>
  <xr:revisionPtr revIDLastSave="0" documentId="13_ncr:1_{6E75D56B-7EC1-4A49-B7DC-0CE0F3AEC0FB}" xr6:coauthVersionLast="47" xr6:coauthVersionMax="47" xr10:uidLastSave="{00000000-0000-0000-0000-000000000000}"/>
  <bookViews>
    <workbookView xWindow="-110" yWindow="-110" windowWidth="19420" windowHeight="11020" firstSheet="2" activeTab="2" xr2:uid="{BD88BCC4-2E11-4C36-830D-A75A044EF5A6}"/>
  </bookViews>
  <sheets>
    <sheet name="GapChart_Data" sheetId="2" state="hidden" r:id="rId1"/>
    <sheet name="Butterfly_Data" sheetId="5" state="hidden" r:id="rId2"/>
    <sheet name="Ratings" sheetId="1" r:id="rId3"/>
    <sheet name="Simplified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M27" i="1" l="1"/>
  <c r="BM26" i="1"/>
  <c r="BM25" i="1"/>
  <c r="BM24" i="1"/>
  <c r="BM23" i="1"/>
  <c r="BM22" i="1"/>
  <c r="BM21" i="1"/>
  <c r="BM20" i="1"/>
  <c r="BM19" i="1"/>
  <c r="BM18" i="1"/>
  <c r="BM17" i="1"/>
  <c r="BM16" i="1"/>
  <c r="BM15" i="1"/>
  <c r="BM14" i="1"/>
  <c r="BM13" i="1"/>
  <c r="BM12" i="1"/>
  <c r="BM11" i="1"/>
  <c r="BM10" i="1"/>
  <c r="BM9" i="1"/>
  <c r="BM8" i="1"/>
  <c r="BM7" i="1"/>
  <c r="BM6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6" i="1"/>
  <c r="M28" i="1"/>
  <c r="CC29" i="1"/>
  <c r="BZ29" i="1"/>
  <c r="BW29" i="1"/>
  <c r="BT29" i="1"/>
  <c r="BQ29" i="1"/>
  <c r="BN29" i="1"/>
  <c r="BI29" i="1"/>
  <c r="BF29" i="1"/>
  <c r="BC29" i="1"/>
  <c r="AZ29" i="1"/>
  <c r="AU29" i="1"/>
  <c r="AR29" i="1"/>
  <c r="AO29" i="1"/>
  <c r="AJ29" i="1"/>
  <c r="AG29" i="1"/>
  <c r="AD29" i="1"/>
  <c r="AA29" i="1"/>
  <c r="V29" i="1"/>
  <c r="Q29" i="1"/>
  <c r="N29" i="1"/>
  <c r="I29" i="1"/>
  <c r="F29" i="1"/>
  <c r="BW3" i="1"/>
  <c r="AD3" i="1"/>
  <c r="Q3" i="1"/>
  <c r="F3" i="1"/>
  <c r="CC3" i="1"/>
  <c r="BZ3" i="1"/>
  <c r="BT3" i="1"/>
  <c r="BQ3" i="1"/>
  <c r="BN3" i="1"/>
  <c r="BI3" i="1"/>
  <c r="BF3" i="1"/>
  <c r="BC3" i="1"/>
  <c r="AZ3" i="1"/>
  <c r="AU3" i="1"/>
  <c r="AR3" i="1"/>
  <c r="AO3" i="1"/>
  <c r="AJ3" i="1"/>
  <c r="AG3" i="1"/>
  <c r="AA3" i="1"/>
  <c r="V3" i="1"/>
  <c r="N3" i="1"/>
  <c r="I3" i="1"/>
  <c r="P9" i="1"/>
  <c r="CE27" i="1"/>
  <c r="CE26" i="1"/>
  <c r="CE25" i="1"/>
  <c r="CE24" i="1"/>
  <c r="CE23" i="1"/>
  <c r="CE22" i="1"/>
  <c r="CE21" i="1"/>
  <c r="CE20" i="1"/>
  <c r="CE19" i="1"/>
  <c r="CE18" i="1"/>
  <c r="CE17" i="1"/>
  <c r="CE16" i="1"/>
  <c r="CE15" i="1"/>
  <c r="CE14" i="1"/>
  <c r="CE13" i="1"/>
  <c r="CE12" i="1"/>
  <c r="CE11" i="1"/>
  <c r="CE10" i="1"/>
  <c r="CE9" i="1"/>
  <c r="CE8" i="1"/>
  <c r="CE7" i="1"/>
  <c r="CE6" i="1"/>
  <c r="CB27" i="1"/>
  <c r="CB26" i="1"/>
  <c r="CB25" i="1"/>
  <c r="CB24" i="1"/>
  <c r="CB23" i="1"/>
  <c r="CB22" i="1"/>
  <c r="CB21" i="1"/>
  <c r="CB20" i="1"/>
  <c r="CB19" i="1"/>
  <c r="CB18" i="1"/>
  <c r="CB17" i="1"/>
  <c r="CB16" i="1"/>
  <c r="CB15" i="1"/>
  <c r="CB14" i="1"/>
  <c r="CB13" i="1"/>
  <c r="CB12" i="1"/>
  <c r="CB11" i="1"/>
  <c r="CB10" i="1"/>
  <c r="CB9" i="1"/>
  <c r="CB8" i="1"/>
  <c r="CB7" i="1"/>
  <c r="CB6" i="1"/>
  <c r="BY27" i="1"/>
  <c r="BY26" i="1"/>
  <c r="BY25" i="1"/>
  <c r="BY24" i="1"/>
  <c r="BY23" i="1"/>
  <c r="BY22" i="1"/>
  <c r="BY21" i="1"/>
  <c r="BY20" i="1"/>
  <c r="BY19" i="1"/>
  <c r="BY18" i="1"/>
  <c r="BY17" i="1"/>
  <c r="BY16" i="1"/>
  <c r="BY15" i="1"/>
  <c r="BY14" i="1"/>
  <c r="BY13" i="1"/>
  <c r="BY12" i="1"/>
  <c r="BY11" i="1"/>
  <c r="BY10" i="1"/>
  <c r="BY9" i="1"/>
  <c r="BY8" i="1"/>
  <c r="BY7" i="1"/>
  <c r="BY6" i="1"/>
  <c r="BV27" i="1"/>
  <c r="BV26" i="1"/>
  <c r="BV25" i="1"/>
  <c r="BV24" i="1"/>
  <c r="BV23" i="1"/>
  <c r="BV22" i="1"/>
  <c r="BV21" i="1"/>
  <c r="BV20" i="1"/>
  <c r="BV19" i="1"/>
  <c r="BV18" i="1"/>
  <c r="BV17" i="1"/>
  <c r="BV16" i="1"/>
  <c r="BV15" i="1"/>
  <c r="BV14" i="1"/>
  <c r="BV13" i="1"/>
  <c r="BV12" i="1"/>
  <c r="BV11" i="1"/>
  <c r="BV10" i="1"/>
  <c r="BV9" i="1"/>
  <c r="BV8" i="1"/>
  <c r="BV7" i="1"/>
  <c r="BV6" i="1"/>
  <c r="BS27" i="1"/>
  <c r="BS26" i="1"/>
  <c r="BS25" i="1"/>
  <c r="BS24" i="1"/>
  <c r="BS23" i="1"/>
  <c r="BS22" i="1"/>
  <c r="BS21" i="1"/>
  <c r="BS20" i="1"/>
  <c r="BS19" i="1"/>
  <c r="BS18" i="1"/>
  <c r="BS17" i="1"/>
  <c r="BS16" i="1"/>
  <c r="BS15" i="1"/>
  <c r="BS14" i="1"/>
  <c r="BS13" i="1"/>
  <c r="BS12" i="1"/>
  <c r="BS11" i="1"/>
  <c r="BS10" i="1"/>
  <c r="BS9" i="1"/>
  <c r="BS8" i="1"/>
  <c r="BS7" i="1"/>
  <c r="BS6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2" i="1"/>
  <c r="BP11" i="1"/>
  <c r="BP10" i="1"/>
  <c r="BP9" i="1"/>
  <c r="BP8" i="1"/>
  <c r="BP7" i="1"/>
  <c r="BP6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H7" i="1"/>
  <c r="BH6" i="1"/>
  <c r="BE27" i="1"/>
  <c r="BE26" i="1"/>
  <c r="BE25" i="1"/>
  <c r="BE24" i="1"/>
  <c r="BE23" i="1"/>
  <c r="BE22" i="1"/>
  <c r="BE21" i="1"/>
  <c r="BE20" i="1"/>
  <c r="BE19" i="1"/>
  <c r="BE18" i="1"/>
  <c r="BE17" i="1"/>
  <c r="BE16" i="1"/>
  <c r="BE15" i="1"/>
  <c r="BE14" i="1"/>
  <c r="BE13" i="1"/>
  <c r="BE12" i="1"/>
  <c r="BE11" i="1"/>
  <c r="BE10" i="1"/>
  <c r="BE9" i="1"/>
  <c r="BE8" i="1"/>
  <c r="BE7" i="1"/>
  <c r="BE6" i="1"/>
  <c r="BB27" i="1"/>
  <c r="BB26" i="1"/>
  <c r="BB25" i="1"/>
  <c r="BB24" i="1"/>
  <c r="BB23" i="1"/>
  <c r="BB22" i="1"/>
  <c r="BB21" i="1"/>
  <c r="BB20" i="1"/>
  <c r="BB19" i="1"/>
  <c r="BB18" i="1"/>
  <c r="BB17" i="1"/>
  <c r="BB16" i="1"/>
  <c r="BB15" i="1"/>
  <c r="BB14" i="1"/>
  <c r="BB13" i="1"/>
  <c r="BB12" i="1"/>
  <c r="BB11" i="1"/>
  <c r="BB10" i="1"/>
  <c r="BB9" i="1"/>
  <c r="BB8" i="1"/>
  <c r="BB7" i="1"/>
  <c r="BB6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T7" i="1"/>
  <c r="AT6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Q10" i="1"/>
  <c r="AQ9" i="1"/>
  <c r="AQ8" i="1"/>
  <c r="AQ7" i="1"/>
  <c r="AQ6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C27" i="1"/>
  <c r="AC22" i="1"/>
  <c r="AC19" i="1"/>
  <c r="AC12" i="1"/>
  <c r="AC13" i="1"/>
  <c r="AC14" i="1"/>
  <c r="AC15" i="1"/>
  <c r="AC16" i="1"/>
  <c r="AC17" i="1"/>
  <c r="AC11" i="1"/>
  <c r="AC7" i="1"/>
  <c r="AC6" i="1"/>
  <c r="AC26" i="1"/>
  <c r="AC25" i="1"/>
  <c r="AC24" i="1"/>
  <c r="AC23" i="1"/>
  <c r="AC21" i="1"/>
  <c r="AC20" i="1"/>
  <c r="AC18" i="1"/>
  <c r="AC10" i="1"/>
  <c r="AC9" i="1"/>
  <c r="AC8" i="1"/>
  <c r="E8" i="1" a="1"/>
  <c r="E8" i="1" s="1"/>
  <c r="K4" i="6" s="1"/>
  <c r="P8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7" i="1"/>
  <c r="P6" i="1"/>
  <c r="H23" i="1"/>
  <c r="H25" i="1"/>
  <c r="H26" i="1"/>
  <c r="E26" i="1" s="1" a="1"/>
  <c r="E26" i="1" s="1"/>
  <c r="K22" i="6" s="1"/>
  <c r="H2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6" i="1"/>
  <c r="E6" i="1" s="1" a="1"/>
  <c r="E6" i="1" s="1"/>
  <c r="H7" i="1"/>
  <c r="E14" i="1" l="1" a="1"/>
  <c r="E14" i="1" s="1"/>
  <c r="K10" i="6" s="1"/>
  <c r="E25" i="1" a="1"/>
  <c r="E25" i="1" s="1"/>
  <c r="K21" i="6" s="1"/>
  <c r="E20" i="1" a="1"/>
  <c r="E20" i="1" s="1"/>
  <c r="K16" i="6" s="1"/>
  <c r="E18" i="1" a="1"/>
  <c r="E18" i="1" s="1"/>
  <c r="K14" i="6" s="1"/>
  <c r="E10" i="1" a="1"/>
  <c r="E10" i="1" s="1"/>
  <c r="K6" i="6" s="1"/>
  <c r="K2" i="6"/>
  <c r="E13" i="1" a="1"/>
  <c r="E13" i="1" s="1"/>
  <c r="K9" i="6" s="1"/>
  <c r="E17" i="1" a="1"/>
  <c r="E17" i="1" s="1"/>
  <c r="K13" i="6" s="1"/>
  <c r="E16" i="1" a="1"/>
  <c r="E16" i="1" s="1"/>
  <c r="K12" i="6" s="1"/>
  <c r="E15" i="1" a="1"/>
  <c r="E15" i="1" s="1"/>
  <c r="K11" i="6" s="1"/>
  <c r="E27" i="1" a="1"/>
  <c r="E27" i="1" s="1"/>
  <c r="K23" i="6" s="1"/>
  <c r="G22" i="6" s="1"/>
  <c r="N12" i="6" s="1"/>
  <c r="E24" i="1" a="1"/>
  <c r="E24" i="1" s="1"/>
  <c r="K20" i="6" s="1"/>
  <c r="G20" i="6" s="1"/>
  <c r="N11" i="6" s="1"/>
  <c r="E23" i="1" a="1"/>
  <c r="E23" i="1" s="1"/>
  <c r="K19" i="6" s="1"/>
  <c r="E21" i="1" a="1"/>
  <c r="E21" i="1" s="1"/>
  <c r="K17" i="6" s="1"/>
  <c r="E12" i="1" a="1"/>
  <c r="E12" i="1" s="1"/>
  <c r="K8" i="6" s="1"/>
  <c r="E19" i="1" a="1"/>
  <c r="E19" i="1" s="1"/>
  <c r="K15" i="6" s="1"/>
  <c r="E22" i="1" a="1"/>
  <c r="E22" i="1" s="1"/>
  <c r="K18" i="6" s="1"/>
  <c r="E11" i="1" a="1"/>
  <c r="E11" i="1" s="1"/>
  <c r="E7" i="1" a="1"/>
  <c r="E7" i="1" s="1"/>
  <c r="K3" i="6" s="1"/>
  <c r="E9" i="1" a="1"/>
  <c r="E9" i="1" s="1"/>
  <c r="K5" i="6" s="1"/>
  <c r="G4" i="6" s="1"/>
  <c r="N3" i="6" s="1"/>
  <c r="G10" i="6" l="1"/>
  <c r="N6" i="6" s="1"/>
  <c r="G2" i="6"/>
  <c r="N2" i="6" s="1"/>
  <c r="K7" i="6"/>
  <c r="G6" i="6" s="1"/>
  <c r="N4" i="6" s="1"/>
  <c r="B2" i="6" a="1"/>
  <c r="B2" i="6" s="1"/>
  <c r="G8" i="6"/>
  <c r="N5" i="6" s="1"/>
  <c r="G16" i="6"/>
  <c r="N9" i="6" s="1"/>
  <c r="G14" i="6"/>
  <c r="N8" i="6" s="1"/>
  <c r="G18" i="6"/>
  <c r="N10" i="6" s="1"/>
  <c r="G12" i="6"/>
  <c r="N7" i="6" s="1"/>
  <c r="B32" i="1" a="1"/>
  <c r="B3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</futureMetadata>
  <cellMetadata count="1">
    <bk>
      <rc t="1" v="0"/>
    </bk>
  </cellMetadata>
  <valueMetadata count="19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</valueMetadata>
</metadata>
</file>

<file path=xl/sharedStrings.xml><?xml version="1.0" encoding="utf-8"?>
<sst xmlns="http://schemas.openxmlformats.org/spreadsheetml/2006/main" count="353" uniqueCount="72">
  <si>
    <t>RANK</t>
  </si>
  <si>
    <t>DRIVER</t>
  </si>
  <si>
    <t>TEAM</t>
  </si>
  <si>
    <t>AVG</t>
  </si>
  <si>
    <t>AUS</t>
  </si>
  <si>
    <t>CHN</t>
  </si>
  <si>
    <t>JPN</t>
  </si>
  <si>
    <t>MIA</t>
  </si>
  <si>
    <t>CAN</t>
  </si>
  <si>
    <t>MON</t>
  </si>
  <si>
    <t>BAR</t>
  </si>
  <si>
    <t>AUT</t>
  </si>
  <si>
    <t>GBR</t>
  </si>
  <si>
    <t>BEL</t>
  </si>
  <si>
    <t>HUN</t>
  </si>
  <si>
    <t>NLD</t>
  </si>
  <si>
    <t>ITA</t>
  </si>
  <si>
    <t>ESP</t>
  </si>
  <si>
    <t>AZE</t>
  </si>
  <si>
    <t>SGP</t>
  </si>
  <si>
    <t>USA</t>
  </si>
  <si>
    <t>MEX</t>
  </si>
  <si>
    <t>BRA</t>
  </si>
  <si>
    <t>VEG</t>
  </si>
  <si>
    <t>QAT</t>
  </si>
  <si>
    <t>ABU</t>
  </si>
  <si>
    <t>Q</t>
  </si>
  <si>
    <t>R</t>
  </si>
  <si>
    <t>SQ</t>
  </si>
  <si>
    <t>SR</t>
  </si>
  <si>
    <t>McLaren</t>
  </si>
  <si>
    <t>Mercedes</t>
  </si>
  <si>
    <t>Ferrari</t>
  </si>
  <si>
    <t>Red Bull</t>
  </si>
  <si>
    <t>Alpine</t>
  </si>
  <si>
    <t>Racing Bulls</t>
  </si>
  <si>
    <t>Hass</t>
  </si>
  <si>
    <t>Williams</t>
  </si>
  <si>
    <t>Audi</t>
  </si>
  <si>
    <t>Cadillac</t>
  </si>
  <si>
    <t>Aston Martin</t>
  </si>
  <si>
    <t>Kimi Antonelli</t>
  </si>
  <si>
    <t>George Russell</t>
  </si>
  <si>
    <t>Lando Norris</t>
  </si>
  <si>
    <t>Oscar Piastri</t>
  </si>
  <si>
    <t>Charles Leclerc</t>
  </si>
  <si>
    <t>Lewis Hamilton</t>
  </si>
  <si>
    <t>Max Verstappen</t>
  </si>
  <si>
    <t>Isack Hadjar</t>
  </si>
  <si>
    <t>Pierre Gasly</t>
  </si>
  <si>
    <t>Franco Colapinto</t>
  </si>
  <si>
    <t>Liam Lawson</t>
  </si>
  <si>
    <t>Arvid Lindblad</t>
  </si>
  <si>
    <t>Esteban Ocon</t>
  </si>
  <si>
    <t>Oliver Bearman</t>
  </si>
  <si>
    <t>Carlos Sainz</t>
  </si>
  <si>
    <t>Alexander Albon</t>
  </si>
  <si>
    <t>Nico Hulkenberg</t>
  </si>
  <si>
    <t>Gabriel Bortoleto</t>
  </si>
  <si>
    <t>Sergio Perez</t>
  </si>
  <si>
    <t>Valtteri Bottas</t>
  </si>
  <si>
    <t>Fernando Alonso</t>
  </si>
  <si>
    <t>Lance Stroll</t>
  </si>
  <si>
    <t>NO</t>
  </si>
  <si>
    <t>FORMULA 1 2026 RANKINGS</t>
  </si>
  <si>
    <t>DIFF</t>
  </si>
  <si>
    <t>Team</t>
  </si>
  <si>
    <t>Driver 1</t>
  </si>
  <si>
    <t>Driver 2</t>
  </si>
  <si>
    <t>Gap</t>
  </si>
  <si>
    <t>DummyRightAxis</t>
  </si>
  <si>
    <t>Dummy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</si>
</sst>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 #,##0.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20"/>
      <color theme="0"/>
      <name val="Aptos Narrow"/>
      <family val="2"/>
      <scheme val="minor"/>
    </font>
    <font>
      <b/>
      <sz val="19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E5002C"/>
        <bgColor indexed="64"/>
      </patternFill>
    </fill>
    <fill>
      <patternFill patternType="solid">
        <fgColor rgb="FFFC7F00"/>
        <bgColor indexed="64"/>
      </patternFill>
    </fill>
    <fill>
      <patternFill patternType="solid">
        <fgColor rgb="FF229870"/>
        <bgColor indexed="64"/>
      </patternFill>
    </fill>
    <fill>
      <patternFill patternType="solid">
        <fgColor rgb="FFA7A7AA"/>
        <bgColor indexed="64"/>
      </patternFill>
    </fill>
    <fill>
      <patternFill patternType="solid">
        <fgColor rgb="FFFD2C00"/>
        <bgColor indexed="64"/>
      </patternFill>
    </fill>
    <fill>
      <patternFill patternType="solid">
        <fgColor rgb="FF1766D7"/>
        <bgColor indexed="64"/>
      </patternFill>
    </fill>
    <fill>
      <patternFill patternType="solid">
        <fgColor rgb="FFDDE0E1"/>
        <bgColor indexed="64"/>
      </patternFill>
    </fill>
    <fill>
      <patternFill patternType="solid">
        <fgColor rgb="FF608CFB"/>
        <bgColor indexed="64"/>
      </patternFill>
    </fill>
    <fill>
      <patternFill patternType="solid">
        <fgColor rgb="FF00A0E6"/>
        <bgColor indexed="64"/>
      </patternFill>
    </fill>
    <fill>
      <patternFill patternType="solid">
        <fgColor rgb="FF356FC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 style="thin">
        <color indexed="64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n">
        <color indexed="64"/>
      </right>
      <top style="thick">
        <color auto="1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auto="1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12" borderId="0" xfId="0" applyFont="1" applyFill="1" applyAlignment="1">
      <alignment vertical="center"/>
    </xf>
    <xf numFmtId="0" fontId="2" fillId="1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/>
    <xf numFmtId="0" fontId="2" fillId="0" borderId="1" xfId="0" applyFont="1" applyBorder="1" applyAlignment="1">
      <alignment horizontal="center" vertical="center"/>
    </xf>
    <xf numFmtId="0" fontId="1" fillId="12" borderId="10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" fillId="12" borderId="14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164" fontId="1" fillId="12" borderId="0" xfId="0" applyNumberFormat="1" applyFont="1" applyFill="1" applyAlignment="1">
      <alignment horizontal="center" vertical="center"/>
    </xf>
    <xf numFmtId="0" fontId="1" fillId="12" borderId="0" xfId="0" applyFont="1" applyFill="1" applyAlignment="1">
      <alignment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1" fillId="12" borderId="3" xfId="0" applyFont="1" applyFill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3" xfId="0" applyFont="1" applyFill="1" applyBorder="1" applyAlignment="1">
      <alignment horizontal="center" vertical="center"/>
    </xf>
    <xf numFmtId="0" fontId="3" fillId="12" borderId="8" xfId="0" applyFont="1" applyFill="1" applyBorder="1" applyAlignment="1">
      <alignment horizontal="center" vertical="center"/>
    </xf>
    <xf numFmtId="0" fontId="3" fillId="12" borderId="9" xfId="0" applyFont="1" applyFill="1" applyBorder="1" applyAlignment="1">
      <alignment horizontal="center" vertical="center"/>
    </xf>
    <xf numFmtId="0" fontId="3" fillId="12" borderId="11" xfId="0" applyFont="1" applyFill="1" applyBorder="1" applyAlignment="1">
      <alignment horizontal="center" vertical="center"/>
    </xf>
    <xf numFmtId="0" fontId="6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6"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21976F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366FC3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21976F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FD7F00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</dxfs>
  <tableStyles count="0" defaultTableStyle="TableStyleMedium2" defaultPivotStyle="PivotStyleLight16"/>
  <colors>
    <mruColors>
      <color rgb="FF21976F"/>
      <color rgb="FFA8A8AB"/>
      <color rgb="FFFA2B00"/>
      <color rgb="FF1767D8"/>
      <color rgb="FFDBDFE0"/>
      <color rgb="FF638FFD"/>
      <color rgb="FF009FE4"/>
      <color rgb="FF366FC3"/>
      <color rgb="FFFD7F00"/>
      <color rgb="FFE400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0/07/relationships/rdRichValueWebImage" Target="richData/rdRichValueWebImag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Teammate Difference Gap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Gap</c:v>
          </c:tx>
          <c:invertIfNegative val="0"/>
          <c:cat>
            <c:numRef>
              <c:f>Butterfly_Data!$B$2:$B$12</c:f>
              <c:numCache>
                <c:formatCode>General</c:formatCode>
                <c:ptCount val="11"/>
              </c:numCache>
            </c:numRef>
          </c:cat>
          <c:val>
            <c:numRef>
              <c:f>Butterfly_Data!$D$2:$D$12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CC-418A-B447-B4B6D7917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799743"/>
        <c:axId val="94816543"/>
      </c:barChart>
      <c:barChart>
        <c:barDir val="bar"/>
        <c:grouping val="clustered"/>
        <c:varyColors val="0"/>
        <c:ser>
          <c:idx val="1"/>
          <c:order val="1"/>
          <c:tx>
            <c:v>Driver 2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E9713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Butterfly_Data!$C$2:$C$12</c:f>
              <c:numCache>
                <c:formatCode>General</c:formatCode>
                <c:ptCount val="11"/>
              </c:numCache>
            </c:numRef>
          </c:cat>
          <c:val>
            <c:numRef>
              <c:f>Butterfly_Data!$E$2:$E$12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C-418A-B447-B4B6D7917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817503"/>
        <c:axId val="94815103"/>
      </c:barChart>
      <c:catAx>
        <c:axId val="9479974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low"/>
        <c:crossAx val="94816543"/>
        <c:crossesAt val="0"/>
        <c:auto val="1"/>
        <c:lblAlgn val="ctr"/>
        <c:lblOffset val="100"/>
        <c:noMultiLvlLbl val="0"/>
      </c:catAx>
      <c:valAx>
        <c:axId val="94816543"/>
        <c:scaling>
          <c:orientation val="minMax"/>
          <c:max val="2"/>
          <c:min val="-2"/>
        </c:scaling>
        <c:delete val="0"/>
        <c:axPos val="t"/>
        <c:majorGridlines/>
        <c:numFmt formatCode="General" sourceLinked="1"/>
        <c:majorTickMark val="out"/>
        <c:minorTickMark val="none"/>
        <c:tickLblPos val="low"/>
        <c:crossAx val="94799743"/>
        <c:crosses val="autoZero"/>
        <c:crossBetween val="between"/>
        <c:majorUnit val="1"/>
      </c:valAx>
      <c:valAx>
        <c:axId val="94815103"/>
        <c:scaling>
          <c:orientation val="minMax"/>
          <c:max val="2"/>
          <c:min val="-2"/>
        </c:scaling>
        <c:delete val="0"/>
        <c:axPos val="b"/>
        <c:numFmt formatCode="General" sourceLinked="1"/>
        <c:majorTickMark val="out"/>
        <c:minorTickMark val="none"/>
        <c:tickLblPos val="none"/>
        <c:crossAx val="94817503"/>
        <c:crosses val="max"/>
        <c:crossBetween val="between"/>
      </c:valAx>
      <c:catAx>
        <c:axId val="9481750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high"/>
        <c:crossAx val="94815103"/>
        <c:crossesAt val="0"/>
        <c:auto val="1"/>
        <c:lblAlgn val="ctr"/>
        <c:lblOffset val="100"/>
        <c:noMultiLvlLbl val="0"/>
      </c:cat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228600</xdr:colOff>
      <xdr:row>79</xdr:row>
      <xdr:rowOff>0</xdr:rowOff>
    </xdr:from>
    <xdr:to>
      <xdr:col>21</xdr:col>
      <xdr:colOff>533400</xdr:colOff>
      <xdr:row>106</xdr:row>
      <xdr:rowOff>107950</xdr:rowOff>
    </xdr:to>
    <xdr:graphicFrame macro="">
      <xdr:nvGraphicFramePr>
        <xdr:cNvPr id="2" name="TeammateGapChart">
          <a:extLst>
            <a:ext uri="{FF2B5EF4-FFF2-40B4-BE49-F238E27FC236}">
              <a16:creationId xmlns:a16="http://schemas.microsoft.com/office/drawing/2014/main" id="{11BE8A7B-4B20-ABB5-7BAE-28A343E78B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dRichValueWebImage.xml.rels><?xml version="1.0" encoding="UTF-8" standalone="yes"?>
<Relationships xmlns="http://schemas.openxmlformats.org/package/2006/relationships"><Relationship Id="rId13" Type="http://schemas.openxmlformats.org/officeDocument/2006/relationships/hyperlink" Target="https://flagcdn.com/w640/es.png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21" Type="http://schemas.openxmlformats.org/officeDocument/2006/relationships/hyperlink" Target="https://flagcdn.com/w640/hu.png" TargetMode="External"/><Relationship Id="rId34" Type="http://schemas.openxmlformats.org/officeDocument/2006/relationships/image" Target="../media/image17.png"/><Relationship Id="rId7" Type="http://schemas.openxmlformats.org/officeDocument/2006/relationships/hyperlink" Target="https://flagcdn.com/w640/us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flagcdn.com/w640/gb.png" TargetMode="External"/><Relationship Id="rId25" Type="http://schemas.openxmlformats.org/officeDocument/2006/relationships/hyperlink" Target="https://flagcdn.com/w640/it.png" TargetMode="External"/><Relationship Id="rId33" Type="http://schemas.openxmlformats.org/officeDocument/2006/relationships/hyperlink" Target="https://flagcdn.com/w640/br.png" TargetMode="External"/><Relationship Id="rId38" Type="http://schemas.openxmlformats.org/officeDocument/2006/relationships/image" Target="../media/image19.png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0" Type="http://schemas.openxmlformats.org/officeDocument/2006/relationships/image" Target="../media/image10.png"/><Relationship Id="rId29" Type="http://schemas.openxmlformats.org/officeDocument/2006/relationships/hyperlink" Target="https://flagcdn.com/w640/sg.png" TargetMode="External"/><Relationship Id="rId1" Type="http://schemas.openxmlformats.org/officeDocument/2006/relationships/hyperlink" Target="https://flagcdn.com/w640/au.png" TargetMode="External"/><Relationship Id="rId6" Type="http://schemas.openxmlformats.org/officeDocument/2006/relationships/image" Target="../media/image3.png"/><Relationship Id="rId11" Type="http://schemas.openxmlformats.org/officeDocument/2006/relationships/hyperlink" Target="https://flagcdn.com/w640/mc.png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flagcdn.com/w640/ae.png" TargetMode="External"/><Relationship Id="rId5" Type="http://schemas.openxmlformats.org/officeDocument/2006/relationships/hyperlink" Target="https://flagcdn.com/w640/jp.png" TargetMode="External"/><Relationship Id="rId15" Type="http://schemas.openxmlformats.org/officeDocument/2006/relationships/hyperlink" Target="https://flagcdn.com/w640/at.png" TargetMode="External"/><Relationship Id="rId23" Type="http://schemas.openxmlformats.org/officeDocument/2006/relationships/hyperlink" Target="https://flagcdn.com/w640/nl.png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10" Type="http://schemas.openxmlformats.org/officeDocument/2006/relationships/image" Target="../media/image5.png"/><Relationship Id="rId19" Type="http://schemas.openxmlformats.org/officeDocument/2006/relationships/hyperlink" Target="https://flagcdn.com/w640/be.png" TargetMode="External"/><Relationship Id="rId31" Type="http://schemas.openxmlformats.org/officeDocument/2006/relationships/hyperlink" Target="https://flagcdn.com/w640/mx.png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flagcdn.com/w640/ca.png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flagcdn.com/w640/az.png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flagcdn.com/w640/qa.png" TargetMode="External"/><Relationship Id="rId8" Type="http://schemas.openxmlformats.org/officeDocument/2006/relationships/image" Target="../media/image4.png"/><Relationship Id="rId3" Type="http://schemas.openxmlformats.org/officeDocument/2006/relationships/hyperlink" Target="https://flagcdn.com/w640/cn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</webImagesSrd>
</file>

<file path=xl/richData/rdrichvalue.xml><?xml version="1.0" encoding="utf-8"?>
<rvData xmlns="http://schemas.microsoft.com/office/spreadsheetml/2017/richdata" count="19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6039-0555-4B99-AA25-3EF38EE0C88D}">
  <sheetPr codeName="Sheet2"/>
  <dimension ref="A1:E12"/>
  <sheetViews>
    <sheetView workbookViewId="0"/>
  </sheetViews>
  <sheetFormatPr defaultRowHeight="14.5" x14ac:dyDescent="0.35"/>
  <sheetData>
    <row r="1" spans="1:5" x14ac:dyDescent="0.35">
      <c r="A1" t="s">
        <v>66</v>
      </c>
      <c r="B1" t="s">
        <v>67</v>
      </c>
      <c r="C1" t="s">
        <v>68</v>
      </c>
      <c r="D1" t="s">
        <v>69</v>
      </c>
      <c r="E1" t="s">
        <v>70</v>
      </c>
    </row>
    <row r="2" spans="1:5" x14ac:dyDescent="0.35">
      <c r="A2" t="s">
        <v>31</v>
      </c>
      <c r="B2" t="s">
        <v>42</v>
      </c>
      <c r="C2" t="s">
        <v>41</v>
      </c>
      <c r="D2">
        <v>0</v>
      </c>
      <c r="E2">
        <v>0</v>
      </c>
    </row>
    <row r="3" spans="1:5" x14ac:dyDescent="0.35">
      <c r="A3" t="s">
        <v>30</v>
      </c>
      <c r="B3" t="s">
        <v>43</v>
      </c>
      <c r="C3" t="s">
        <v>44</v>
      </c>
      <c r="D3">
        <v>2.8624999999999989</v>
      </c>
      <c r="E3">
        <v>0</v>
      </c>
    </row>
    <row r="4" spans="1:5" x14ac:dyDescent="0.35">
      <c r="A4" t="s">
        <v>32</v>
      </c>
      <c r="B4" t="s">
        <v>45</v>
      </c>
      <c r="C4" t="s">
        <v>46</v>
      </c>
      <c r="D4">
        <v>0</v>
      </c>
      <c r="E4">
        <v>0</v>
      </c>
    </row>
    <row r="5" spans="1:5" x14ac:dyDescent="0.35">
      <c r="A5" t="s">
        <v>33</v>
      </c>
      <c r="B5" t="s">
        <v>47</v>
      </c>
      <c r="C5" t="s">
        <v>48</v>
      </c>
      <c r="D5">
        <v>0</v>
      </c>
      <c r="E5">
        <v>0</v>
      </c>
    </row>
    <row r="6" spans="1:5" x14ac:dyDescent="0.35">
      <c r="A6" t="s">
        <v>34</v>
      </c>
      <c r="B6" t="s">
        <v>49</v>
      </c>
      <c r="C6" t="s">
        <v>50</v>
      </c>
      <c r="D6">
        <v>0</v>
      </c>
      <c r="E6">
        <v>0</v>
      </c>
    </row>
    <row r="7" spans="1:5" x14ac:dyDescent="0.35">
      <c r="A7" t="s">
        <v>35</v>
      </c>
      <c r="B7" t="s">
        <v>51</v>
      </c>
      <c r="C7" t="s">
        <v>52</v>
      </c>
      <c r="D7">
        <v>0</v>
      </c>
      <c r="E7">
        <v>0</v>
      </c>
    </row>
    <row r="8" spans="1:5" x14ac:dyDescent="0.35">
      <c r="A8" t="s">
        <v>36</v>
      </c>
      <c r="B8" t="s">
        <v>53</v>
      </c>
      <c r="C8" t="s">
        <v>54</v>
      </c>
      <c r="D8">
        <v>0</v>
      </c>
      <c r="E8">
        <v>0</v>
      </c>
    </row>
    <row r="9" spans="1:5" x14ac:dyDescent="0.35">
      <c r="A9" t="s">
        <v>37</v>
      </c>
      <c r="B9" t="s">
        <v>55</v>
      </c>
      <c r="C9" t="s">
        <v>56</v>
      </c>
      <c r="D9">
        <v>0</v>
      </c>
      <c r="E9">
        <v>0</v>
      </c>
    </row>
    <row r="10" spans="1:5" x14ac:dyDescent="0.35">
      <c r="A10" t="s">
        <v>38</v>
      </c>
      <c r="B10" t="s">
        <v>57</v>
      </c>
      <c r="C10" t="s">
        <v>58</v>
      </c>
      <c r="D10">
        <v>0</v>
      </c>
      <c r="E10">
        <v>0</v>
      </c>
    </row>
    <row r="11" spans="1:5" x14ac:dyDescent="0.35">
      <c r="A11" t="s">
        <v>39</v>
      </c>
      <c r="B11" t="s">
        <v>59</v>
      </c>
      <c r="C11" t="s">
        <v>60</v>
      </c>
      <c r="D11">
        <v>0</v>
      </c>
      <c r="E11">
        <v>0</v>
      </c>
    </row>
    <row r="12" spans="1:5" x14ac:dyDescent="0.35">
      <c r="A12" t="s">
        <v>40</v>
      </c>
      <c r="B12" t="s">
        <v>61</v>
      </c>
      <c r="C12" t="s">
        <v>62</v>
      </c>
      <c r="D12">
        <v>0</v>
      </c>
      <c r="E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E7731-5FF8-4D03-B2AF-437BFFFE6A2A}">
  <sheetPr codeName="Sheet5"/>
  <dimension ref="A1:E12"/>
  <sheetViews>
    <sheetView workbookViewId="0"/>
  </sheetViews>
  <sheetFormatPr defaultRowHeight="14.5" x14ac:dyDescent="0.35"/>
  <sheetData>
    <row r="1" spans="1:5" x14ac:dyDescent="0.35">
      <c r="A1" t="s">
        <v>66</v>
      </c>
      <c r="B1" t="s">
        <v>67</v>
      </c>
      <c r="C1" t="s">
        <v>68</v>
      </c>
      <c r="D1" t="s">
        <v>69</v>
      </c>
      <c r="E1" t="s">
        <v>71</v>
      </c>
    </row>
    <row r="2" spans="1:5" x14ac:dyDescent="0.35">
      <c r="D2">
        <v>0</v>
      </c>
      <c r="E2">
        <v>0</v>
      </c>
    </row>
    <row r="3" spans="1:5" x14ac:dyDescent="0.35">
      <c r="D3">
        <v>0</v>
      </c>
      <c r="E3">
        <v>0</v>
      </c>
    </row>
    <row r="4" spans="1:5" x14ac:dyDescent="0.35">
      <c r="D4">
        <v>0</v>
      </c>
      <c r="E4">
        <v>0</v>
      </c>
    </row>
    <row r="5" spans="1:5" x14ac:dyDescent="0.35">
      <c r="D5">
        <v>0</v>
      </c>
      <c r="E5">
        <v>0</v>
      </c>
    </row>
    <row r="6" spans="1:5" x14ac:dyDescent="0.35">
      <c r="D6">
        <v>0</v>
      </c>
      <c r="E6">
        <v>0</v>
      </c>
    </row>
    <row r="7" spans="1:5" x14ac:dyDescent="0.35">
      <c r="D7">
        <v>0</v>
      </c>
      <c r="E7">
        <v>0</v>
      </c>
    </row>
    <row r="8" spans="1:5" x14ac:dyDescent="0.35">
      <c r="D8">
        <v>0</v>
      </c>
      <c r="E8">
        <v>0</v>
      </c>
    </row>
    <row r="9" spans="1:5" x14ac:dyDescent="0.35">
      <c r="D9">
        <v>0</v>
      </c>
      <c r="E9">
        <v>0</v>
      </c>
    </row>
    <row r="10" spans="1:5" x14ac:dyDescent="0.35">
      <c r="D10">
        <v>0</v>
      </c>
      <c r="E10">
        <v>0</v>
      </c>
    </row>
    <row r="11" spans="1:5" x14ac:dyDescent="0.35">
      <c r="D11">
        <v>0</v>
      </c>
      <c r="E11">
        <v>0</v>
      </c>
    </row>
    <row r="12" spans="1:5" x14ac:dyDescent="0.35">
      <c r="D12">
        <v>0</v>
      </c>
      <c r="E1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B5C36-1756-449D-9FBB-9D4D4546BD0F}">
  <sheetPr codeName="Sheet1"/>
  <dimension ref="A1:CE61"/>
  <sheetViews>
    <sheetView tabSelected="1" zoomScale="70" zoomScaleNormal="70" workbookViewId="0">
      <pane xSplit="5" ySplit="2" topLeftCell="AT3" activePane="bottomRight" state="frozen"/>
      <selection pane="topRight" activeCell="F1" sqref="F1"/>
      <selection pane="bottomLeft" activeCell="A3" sqref="A3"/>
      <selection pane="bottomRight" activeCell="CF3" sqref="CF3"/>
    </sheetView>
  </sheetViews>
  <sheetFormatPr defaultColWidth="5" defaultRowHeight="14.5" x14ac:dyDescent="0.35"/>
  <cols>
    <col min="1" max="1" width="6.08984375" customWidth="1"/>
    <col min="2" max="2" width="4.54296875" customWidth="1"/>
    <col min="3" max="3" width="15.26953125" customWidth="1"/>
    <col min="4" max="4" width="10.90625" customWidth="1"/>
    <col min="5" max="5" width="5.1796875" customWidth="1"/>
    <col min="8" max="8" width="5" customWidth="1"/>
    <col min="10" max="10" width="5" customWidth="1"/>
    <col min="13" max="13" width="5" customWidth="1"/>
    <col min="16" max="16" width="5" customWidth="1"/>
  </cols>
  <sheetData>
    <row r="1" spans="1:83" s="14" customFormat="1" ht="14.5" customHeight="1" x14ac:dyDescent="0.35">
      <c r="A1" s="43" t="s">
        <v>64</v>
      </c>
      <c r="B1" s="44"/>
      <c r="C1" s="44"/>
      <c r="D1" s="44"/>
      <c r="E1" s="44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</row>
    <row r="2" spans="1:83" s="14" customFormat="1" ht="20" customHeight="1" thickBot="1" x14ac:dyDescent="0.4">
      <c r="A2" s="44"/>
      <c r="B2" s="44"/>
      <c r="C2" s="44"/>
      <c r="D2" s="44"/>
      <c r="E2" s="44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</row>
    <row r="3" spans="1:83" s="15" customFormat="1" ht="25.5" customHeight="1" thickTop="1" x14ac:dyDescent="0.35">
      <c r="A3" s="13"/>
      <c r="B3" s="13"/>
      <c r="C3" s="13"/>
      <c r="D3" s="13"/>
      <c r="E3" s="13"/>
      <c r="F3" s="40" t="e" vm="1">
        <f>_xlfn.IMAGE("https://flagcdn.com/w640/au.png")</f>
        <v>#VALUE!</v>
      </c>
      <c r="G3" s="41"/>
      <c r="H3" s="42"/>
      <c r="I3" s="38" t="e" vm="2">
        <f>_xlfn.IMAGE("https://flagcdn.com/w640/cn.png")</f>
        <v>#VALUE!</v>
      </c>
      <c r="J3" s="38"/>
      <c r="K3" s="38"/>
      <c r="L3" s="38"/>
      <c r="M3" s="38"/>
      <c r="N3" s="40" t="e" vm="3">
        <f>_xlfn.IMAGE("https://flagcdn.com/w640/jp.png")</f>
        <v>#VALUE!</v>
      </c>
      <c r="O3" s="41"/>
      <c r="P3" s="42"/>
      <c r="Q3" s="37" t="e" vm="4">
        <f>_xlfn.IMAGE("https://flagcdn.com/w640/us.png")</f>
        <v>#VALUE!</v>
      </c>
      <c r="R3" s="38"/>
      <c r="S3" s="38"/>
      <c r="T3" s="38"/>
      <c r="U3" s="39"/>
      <c r="V3" s="37" t="e" vm="5">
        <f>_xlfn.IMAGE("https://flagcdn.com/w640/ca.png")</f>
        <v>#VALUE!</v>
      </c>
      <c r="W3" s="38"/>
      <c r="X3" s="38"/>
      <c r="Y3" s="38"/>
      <c r="Z3" s="39"/>
      <c r="AA3" s="40" t="e" vm="6">
        <f>_xlfn.IMAGE("https://flagcdn.com/w640/mc.png")</f>
        <v>#VALUE!</v>
      </c>
      <c r="AB3" s="41"/>
      <c r="AC3" s="42"/>
      <c r="AD3" s="40" t="e" vm="7">
        <f>_xlfn.IMAGE("https://flagcdn.com/w640/es.png")</f>
        <v>#VALUE!</v>
      </c>
      <c r="AE3" s="41"/>
      <c r="AF3" s="42"/>
      <c r="AG3" s="40" t="e" vm="8">
        <f>_xlfn.IMAGE("https://flagcdn.com/w640/at.png")</f>
        <v>#VALUE!</v>
      </c>
      <c r="AH3" s="41"/>
      <c r="AI3" s="42"/>
      <c r="AJ3" s="37" t="e" vm="9">
        <f>_xlfn.IMAGE("https://flagcdn.com/w640/gb.png")</f>
        <v>#VALUE!</v>
      </c>
      <c r="AK3" s="38"/>
      <c r="AL3" s="38"/>
      <c r="AM3" s="38"/>
      <c r="AN3" s="39"/>
      <c r="AO3" s="40" t="e" vm="10">
        <f>_xlfn.IMAGE("https://flagcdn.com/w640/be.png")</f>
        <v>#VALUE!</v>
      </c>
      <c r="AP3" s="41"/>
      <c r="AQ3" s="42"/>
      <c r="AR3" s="40" t="e" vm="11">
        <f>_xlfn.IMAGE("https://flagcdn.com/w640/hu.png")</f>
        <v>#VALUE!</v>
      </c>
      <c r="AS3" s="41"/>
      <c r="AT3" s="42"/>
      <c r="AU3" s="37" t="e" vm="12">
        <f>_xlfn.IMAGE("https://flagcdn.com/w640/nl.png")</f>
        <v>#VALUE!</v>
      </c>
      <c r="AV3" s="38"/>
      <c r="AW3" s="38"/>
      <c r="AX3" s="38"/>
      <c r="AY3" s="39"/>
      <c r="AZ3" s="40" t="e" vm="13">
        <f>_xlfn.IMAGE("https://flagcdn.com/w640/it.png")</f>
        <v>#VALUE!</v>
      </c>
      <c r="BA3" s="41"/>
      <c r="BB3" s="42"/>
      <c r="BC3" s="40" t="e" vm="7">
        <f>_xlfn.IMAGE("https://flagcdn.com/w640/es.png")</f>
        <v>#VALUE!</v>
      </c>
      <c r="BD3" s="41"/>
      <c r="BE3" s="42"/>
      <c r="BF3" s="40" t="e" vm="14">
        <f>_xlfn.IMAGE("https://flagcdn.com/w640/az.png")</f>
        <v>#VALUE!</v>
      </c>
      <c r="BG3" s="41"/>
      <c r="BH3" s="42"/>
      <c r="BI3" s="37" t="e" vm="15">
        <f>_xlfn.IMAGE("https://flagcdn.com/w640/sg.png")</f>
        <v>#VALUE!</v>
      </c>
      <c r="BJ3" s="38"/>
      <c r="BK3" s="38"/>
      <c r="BL3" s="38"/>
      <c r="BM3" s="39"/>
      <c r="BN3" s="40" t="e" vm="4">
        <f>_xlfn.IMAGE("https://flagcdn.com/w640/us.png")</f>
        <v>#VALUE!</v>
      </c>
      <c r="BO3" s="41"/>
      <c r="BP3" s="42"/>
      <c r="BQ3" s="40" t="e" vm="16">
        <f>_xlfn.IMAGE("https://flagcdn.com/w640/mx.png")</f>
        <v>#VALUE!</v>
      </c>
      <c r="BR3" s="41"/>
      <c r="BS3" s="42"/>
      <c r="BT3" s="40" t="e" vm="17">
        <f>_xlfn.IMAGE("https://flagcdn.com/w640/br.png")</f>
        <v>#VALUE!</v>
      </c>
      <c r="BU3" s="41"/>
      <c r="BV3" s="42"/>
      <c r="BW3" s="40" t="e" vm="4">
        <f>_xlfn.IMAGE("https://flagcdn.com/w640/us.png")</f>
        <v>#VALUE!</v>
      </c>
      <c r="BX3" s="41"/>
      <c r="BY3" s="42"/>
      <c r="BZ3" s="40" t="e" vm="18">
        <f>_xlfn.IMAGE("https://flagcdn.com/w640/qa.png")</f>
        <v>#VALUE!</v>
      </c>
      <c r="CA3" s="41"/>
      <c r="CB3" s="42"/>
      <c r="CC3" s="40" t="e" vm="19">
        <f>_xlfn.IMAGE("https://flagcdn.com/w640/ae.png")</f>
        <v>#VALUE!</v>
      </c>
      <c r="CD3" s="41"/>
      <c r="CE3" s="42"/>
    </row>
    <row r="4" spans="1:83" s="16" customFormat="1" ht="15" thickBot="1" x14ac:dyDescent="0.4">
      <c r="A4" s="32" t="s">
        <v>0</v>
      </c>
      <c r="B4" s="32" t="s">
        <v>63</v>
      </c>
      <c r="C4" s="32" t="s">
        <v>1</v>
      </c>
      <c r="D4" s="32" t="s">
        <v>2</v>
      </c>
      <c r="E4" s="32" t="s">
        <v>3</v>
      </c>
      <c r="F4" s="31" t="s">
        <v>4</v>
      </c>
      <c r="G4" s="32"/>
      <c r="H4" s="33"/>
      <c r="I4" s="32" t="s">
        <v>5</v>
      </c>
      <c r="J4" s="32"/>
      <c r="K4" s="32"/>
      <c r="L4" s="32"/>
      <c r="M4" s="32"/>
      <c r="N4" s="31" t="s">
        <v>6</v>
      </c>
      <c r="O4" s="32"/>
      <c r="P4" s="33"/>
      <c r="Q4" s="34" t="s">
        <v>7</v>
      </c>
      <c r="R4" s="35"/>
      <c r="S4" s="35"/>
      <c r="T4" s="35"/>
      <c r="U4" s="36"/>
      <c r="V4" s="34" t="s">
        <v>8</v>
      </c>
      <c r="W4" s="35"/>
      <c r="X4" s="35"/>
      <c r="Y4" s="35"/>
      <c r="Z4" s="36"/>
      <c r="AA4" s="31" t="s">
        <v>9</v>
      </c>
      <c r="AB4" s="32"/>
      <c r="AC4" s="33"/>
      <c r="AD4" s="31" t="s">
        <v>10</v>
      </c>
      <c r="AE4" s="32"/>
      <c r="AF4" s="33"/>
      <c r="AG4" s="31" t="s">
        <v>11</v>
      </c>
      <c r="AH4" s="32"/>
      <c r="AI4" s="33"/>
      <c r="AJ4" s="34" t="s">
        <v>12</v>
      </c>
      <c r="AK4" s="35"/>
      <c r="AL4" s="35"/>
      <c r="AM4" s="35"/>
      <c r="AN4" s="36"/>
      <c r="AO4" s="31" t="s">
        <v>13</v>
      </c>
      <c r="AP4" s="32"/>
      <c r="AQ4" s="33"/>
      <c r="AR4" s="31" t="s">
        <v>14</v>
      </c>
      <c r="AS4" s="32"/>
      <c r="AT4" s="33"/>
      <c r="AU4" s="34" t="s">
        <v>15</v>
      </c>
      <c r="AV4" s="35"/>
      <c r="AW4" s="35"/>
      <c r="AX4" s="35"/>
      <c r="AY4" s="36"/>
      <c r="AZ4" s="31" t="s">
        <v>16</v>
      </c>
      <c r="BA4" s="32"/>
      <c r="BB4" s="33"/>
      <c r="BC4" s="31" t="s">
        <v>17</v>
      </c>
      <c r="BD4" s="32"/>
      <c r="BE4" s="33"/>
      <c r="BF4" s="31" t="s">
        <v>18</v>
      </c>
      <c r="BG4" s="32"/>
      <c r="BH4" s="33"/>
      <c r="BI4" s="34" t="s">
        <v>19</v>
      </c>
      <c r="BJ4" s="35"/>
      <c r="BK4" s="35"/>
      <c r="BL4" s="35"/>
      <c r="BM4" s="36"/>
      <c r="BN4" s="31" t="s">
        <v>20</v>
      </c>
      <c r="BO4" s="32"/>
      <c r="BP4" s="33"/>
      <c r="BQ4" s="31" t="s">
        <v>21</v>
      </c>
      <c r="BR4" s="32"/>
      <c r="BS4" s="33"/>
      <c r="BT4" s="31" t="s">
        <v>22</v>
      </c>
      <c r="BU4" s="32"/>
      <c r="BV4" s="33"/>
      <c r="BW4" s="31" t="s">
        <v>23</v>
      </c>
      <c r="BX4" s="32"/>
      <c r="BY4" s="33"/>
      <c r="BZ4" s="31" t="s">
        <v>24</v>
      </c>
      <c r="CA4" s="32"/>
      <c r="CB4" s="33"/>
      <c r="CC4" s="31" t="s">
        <v>25</v>
      </c>
      <c r="CD4" s="32"/>
      <c r="CE4" s="33"/>
    </row>
    <row r="5" spans="1:83" s="16" customFormat="1" ht="15" thickTop="1" x14ac:dyDescent="0.35">
      <c r="A5" s="32"/>
      <c r="B5" s="32"/>
      <c r="C5" s="32"/>
      <c r="D5" s="32"/>
      <c r="E5" s="32"/>
      <c r="F5" s="22" t="s">
        <v>26</v>
      </c>
      <c r="G5" s="25" t="s">
        <v>27</v>
      </c>
      <c r="H5" s="26" t="s">
        <v>3</v>
      </c>
      <c r="I5" s="27" t="s">
        <v>28</v>
      </c>
      <c r="J5" s="25" t="s">
        <v>29</v>
      </c>
      <c r="K5" s="25" t="s">
        <v>26</v>
      </c>
      <c r="L5" s="25" t="s">
        <v>27</v>
      </c>
      <c r="M5" s="26" t="s">
        <v>3</v>
      </c>
      <c r="N5" s="27" t="s">
        <v>26</v>
      </c>
      <c r="O5" s="25" t="s">
        <v>27</v>
      </c>
      <c r="P5" s="26" t="s">
        <v>3</v>
      </c>
      <c r="Q5" s="27" t="s">
        <v>28</v>
      </c>
      <c r="R5" s="25" t="s">
        <v>29</v>
      </c>
      <c r="S5" s="25" t="s">
        <v>26</v>
      </c>
      <c r="T5" s="25" t="s">
        <v>27</v>
      </c>
      <c r="U5" s="26" t="s">
        <v>3</v>
      </c>
      <c r="V5" s="27" t="s">
        <v>28</v>
      </c>
      <c r="W5" s="25" t="s">
        <v>29</v>
      </c>
      <c r="X5" s="25" t="s">
        <v>26</v>
      </c>
      <c r="Y5" s="25" t="s">
        <v>27</v>
      </c>
      <c r="Z5" s="26" t="s">
        <v>3</v>
      </c>
      <c r="AA5" s="27" t="s">
        <v>26</v>
      </c>
      <c r="AB5" s="25" t="s">
        <v>27</v>
      </c>
      <c r="AC5" s="26" t="s">
        <v>3</v>
      </c>
      <c r="AD5" s="27" t="s">
        <v>26</v>
      </c>
      <c r="AE5" s="25" t="s">
        <v>27</v>
      </c>
      <c r="AF5" s="26" t="s">
        <v>3</v>
      </c>
      <c r="AG5" s="27" t="s">
        <v>26</v>
      </c>
      <c r="AH5" s="25" t="s">
        <v>27</v>
      </c>
      <c r="AI5" s="26" t="s">
        <v>3</v>
      </c>
      <c r="AJ5" s="27" t="s">
        <v>28</v>
      </c>
      <c r="AK5" s="25" t="s">
        <v>29</v>
      </c>
      <c r="AL5" s="25" t="s">
        <v>26</v>
      </c>
      <c r="AM5" s="25" t="s">
        <v>27</v>
      </c>
      <c r="AN5" s="26" t="s">
        <v>3</v>
      </c>
      <c r="AO5" s="27" t="s">
        <v>26</v>
      </c>
      <c r="AP5" s="25" t="s">
        <v>27</v>
      </c>
      <c r="AQ5" s="26" t="s">
        <v>3</v>
      </c>
      <c r="AR5" s="27" t="s">
        <v>26</v>
      </c>
      <c r="AS5" s="25" t="s">
        <v>27</v>
      </c>
      <c r="AT5" s="26" t="s">
        <v>3</v>
      </c>
      <c r="AU5" s="27" t="s">
        <v>28</v>
      </c>
      <c r="AV5" s="25" t="s">
        <v>29</v>
      </c>
      <c r="AW5" s="25" t="s">
        <v>26</v>
      </c>
      <c r="AX5" s="25" t="s">
        <v>27</v>
      </c>
      <c r="AY5" s="26" t="s">
        <v>3</v>
      </c>
      <c r="AZ5" s="27" t="s">
        <v>26</v>
      </c>
      <c r="BA5" s="25" t="s">
        <v>27</v>
      </c>
      <c r="BB5" s="26" t="s">
        <v>3</v>
      </c>
      <c r="BC5" s="27" t="s">
        <v>26</v>
      </c>
      <c r="BD5" s="25" t="s">
        <v>27</v>
      </c>
      <c r="BE5" s="26" t="s">
        <v>3</v>
      </c>
      <c r="BF5" s="27" t="s">
        <v>26</v>
      </c>
      <c r="BG5" s="25" t="s">
        <v>27</v>
      </c>
      <c r="BH5" s="26" t="s">
        <v>3</v>
      </c>
      <c r="BI5" s="27" t="s">
        <v>28</v>
      </c>
      <c r="BJ5" s="25" t="s">
        <v>29</v>
      </c>
      <c r="BK5" s="25" t="s">
        <v>26</v>
      </c>
      <c r="BL5" s="25" t="s">
        <v>27</v>
      </c>
      <c r="BM5" s="26" t="s">
        <v>3</v>
      </c>
      <c r="BN5" s="27" t="s">
        <v>26</v>
      </c>
      <c r="BO5" s="25" t="s">
        <v>27</v>
      </c>
      <c r="BP5" s="26" t="s">
        <v>3</v>
      </c>
      <c r="BQ5" s="27" t="s">
        <v>26</v>
      </c>
      <c r="BR5" s="25" t="s">
        <v>27</v>
      </c>
      <c r="BS5" s="26" t="s">
        <v>3</v>
      </c>
      <c r="BT5" s="27" t="s">
        <v>26</v>
      </c>
      <c r="BU5" s="25" t="s">
        <v>27</v>
      </c>
      <c r="BV5" s="26" t="s">
        <v>3</v>
      </c>
      <c r="BW5" s="27" t="s">
        <v>26</v>
      </c>
      <c r="BX5" s="25" t="s">
        <v>27</v>
      </c>
      <c r="BY5" s="26" t="s">
        <v>3</v>
      </c>
      <c r="BZ5" s="27" t="s">
        <v>26</v>
      </c>
      <c r="CA5" s="25" t="s">
        <v>27</v>
      </c>
      <c r="CB5" s="26" t="s">
        <v>3</v>
      </c>
      <c r="CC5" s="27" t="s">
        <v>26</v>
      </c>
      <c r="CD5" s="25" t="s">
        <v>27</v>
      </c>
      <c r="CE5" s="26" t="s">
        <v>3</v>
      </c>
    </row>
    <row r="6" spans="1:83" s="2" customFormat="1" x14ac:dyDescent="0.35">
      <c r="A6" s="12">
        <v>1</v>
      </c>
      <c r="B6" s="18">
        <v>63</v>
      </c>
      <c r="C6" s="12" t="s">
        <v>42</v>
      </c>
      <c r="D6" s="18" t="s">
        <v>31</v>
      </c>
      <c r="E6" s="2" cm="1">
        <f t="array" ref="E6">_xlfn.LET(_xlpm.scores, _xlfn.VSTACK(H6,M6,P6,U6,Z6,AC6,AF6,AI6,AN6,AQ6,AT6,AY6,BB6,BE6,BH6,BM6,BP6,BS6,BV6,BY6,CB6,CE6), IFERROR(AVERAGE(_xlfn._xlws.FILTER(_xlpm.scores, _xlpm.scores&gt;0)), 0))</f>
        <v>0</v>
      </c>
      <c r="F6" s="21">
        <v>0</v>
      </c>
      <c r="G6" s="23">
        <v>0</v>
      </c>
      <c r="H6" s="24">
        <f t="shared" ref="H6:H21" si="0">AVERAGE(F6:G6)</f>
        <v>0</v>
      </c>
      <c r="I6" s="28">
        <v>0</v>
      </c>
      <c r="J6" s="23">
        <v>0</v>
      </c>
      <c r="K6" s="23">
        <v>0</v>
      </c>
      <c r="L6" s="23">
        <v>0</v>
      </c>
      <c r="M6" s="24">
        <f>(AVERAGE(I6:J6)*0.24) + (AVERAGE(K6:L6)*0.76)</f>
        <v>0</v>
      </c>
      <c r="N6" s="28">
        <v>0</v>
      </c>
      <c r="O6" s="23">
        <v>0</v>
      </c>
      <c r="P6" s="24">
        <f t="shared" ref="P6:P27" si="1">AVERAGE(N6:O6)</f>
        <v>0</v>
      </c>
      <c r="Q6" s="28">
        <v>0</v>
      </c>
      <c r="R6" s="23">
        <v>0</v>
      </c>
      <c r="S6" s="23">
        <v>0</v>
      </c>
      <c r="T6" s="23">
        <v>0</v>
      </c>
      <c r="U6" s="24">
        <f>(AVERAGE(Q6:R6)*0.24) + (AVERAGE(S6:T6)*0.76)</f>
        <v>0</v>
      </c>
      <c r="V6" s="28">
        <v>0</v>
      </c>
      <c r="W6" s="23">
        <v>0</v>
      </c>
      <c r="X6" s="23">
        <v>0</v>
      </c>
      <c r="Y6" s="23">
        <v>0</v>
      </c>
      <c r="Z6" s="24">
        <f>(AVERAGE(V6:W6)*0.24) + (AVERAGE(X6:Y6)*0.76)</f>
        <v>0</v>
      </c>
      <c r="AA6" s="28">
        <v>0</v>
      </c>
      <c r="AB6" s="23">
        <v>0</v>
      </c>
      <c r="AC6" s="24">
        <f>AVERAGE(AA6:AB6)</f>
        <v>0</v>
      </c>
      <c r="AD6" s="28">
        <v>0</v>
      </c>
      <c r="AE6" s="23">
        <v>0</v>
      </c>
      <c r="AF6" s="24">
        <f>AVERAGE(AD6:AE6)</f>
        <v>0</v>
      </c>
      <c r="AG6" s="28">
        <v>0</v>
      </c>
      <c r="AH6" s="23">
        <v>0</v>
      </c>
      <c r="AI6" s="24">
        <f>AVERAGE(AG6:AH6)</f>
        <v>0</v>
      </c>
      <c r="AJ6" s="28">
        <v>0</v>
      </c>
      <c r="AK6" s="23">
        <v>0</v>
      </c>
      <c r="AL6" s="23">
        <v>0</v>
      </c>
      <c r="AM6" s="23">
        <v>0</v>
      </c>
      <c r="AN6" s="24">
        <f>(AVERAGE(AJ6:AK6)*0.24) + (AVERAGE(AL6:AM6)*0.76)</f>
        <v>0</v>
      </c>
      <c r="AO6" s="28">
        <v>0</v>
      </c>
      <c r="AP6" s="23">
        <v>0</v>
      </c>
      <c r="AQ6" s="24">
        <f>AVERAGE(AO6:AP6)</f>
        <v>0</v>
      </c>
      <c r="AR6" s="28">
        <v>0</v>
      </c>
      <c r="AS6" s="23">
        <v>0</v>
      </c>
      <c r="AT6" s="24">
        <f>AVERAGE(AR6:AS6)</f>
        <v>0</v>
      </c>
      <c r="AU6" s="28">
        <v>0</v>
      </c>
      <c r="AV6" s="23">
        <v>0</v>
      </c>
      <c r="AW6" s="23">
        <v>0</v>
      </c>
      <c r="AX6" s="23">
        <v>0</v>
      </c>
      <c r="AY6" s="24">
        <f>(AVERAGE(AU6:AV6)*0.24) + (AVERAGE(AW6:AX6)*0.76)</f>
        <v>0</v>
      </c>
      <c r="AZ6" s="28">
        <v>0</v>
      </c>
      <c r="BA6" s="23">
        <v>0</v>
      </c>
      <c r="BB6" s="24">
        <f>AVERAGE(AZ6:BA6)</f>
        <v>0</v>
      </c>
      <c r="BC6" s="28">
        <v>0</v>
      </c>
      <c r="BD6" s="23">
        <v>0</v>
      </c>
      <c r="BE6" s="24">
        <f>AVERAGE(BC6:BD6)</f>
        <v>0</v>
      </c>
      <c r="BF6" s="28">
        <v>0</v>
      </c>
      <c r="BG6" s="23">
        <v>0</v>
      </c>
      <c r="BH6" s="24">
        <f>AVERAGE(BF6:BG6)</f>
        <v>0</v>
      </c>
      <c r="BI6" s="28">
        <v>0</v>
      </c>
      <c r="BJ6" s="23">
        <v>0</v>
      </c>
      <c r="BK6" s="23">
        <v>0</v>
      </c>
      <c r="BL6" s="23">
        <v>0</v>
      </c>
      <c r="BM6" s="24">
        <f>(AVERAGE(BI6:BJ6)*0.24) + (AVERAGE(BK6:BL6)*0.76)</f>
        <v>0</v>
      </c>
      <c r="BN6" s="28">
        <v>0</v>
      </c>
      <c r="BO6" s="23">
        <v>0</v>
      </c>
      <c r="BP6" s="24">
        <f>AVERAGE(BN6:BO6)</f>
        <v>0</v>
      </c>
      <c r="BQ6" s="28">
        <v>0</v>
      </c>
      <c r="BR6" s="23">
        <v>0</v>
      </c>
      <c r="BS6" s="24">
        <f>AVERAGE(BQ6:BR6)</f>
        <v>0</v>
      </c>
      <c r="BT6" s="28">
        <v>0</v>
      </c>
      <c r="BU6" s="23">
        <v>0</v>
      </c>
      <c r="BV6" s="24">
        <f>AVERAGE(BT6:BU6)</f>
        <v>0</v>
      </c>
      <c r="BW6" s="28">
        <v>0</v>
      </c>
      <c r="BX6" s="23">
        <v>0</v>
      </c>
      <c r="BY6" s="24">
        <f>AVERAGE(BW6:BX6)</f>
        <v>0</v>
      </c>
      <c r="BZ6" s="28">
        <v>0</v>
      </c>
      <c r="CA6" s="23">
        <v>0</v>
      </c>
      <c r="CB6" s="24">
        <f>AVERAGE(BZ6:CA6)</f>
        <v>0</v>
      </c>
      <c r="CC6" s="28">
        <v>0</v>
      </c>
      <c r="CD6" s="23">
        <v>0</v>
      </c>
      <c r="CE6" s="24">
        <f>AVERAGE(CC6:CD6)</f>
        <v>0</v>
      </c>
    </row>
    <row r="7" spans="1:83" s="2" customFormat="1" x14ac:dyDescent="0.35">
      <c r="A7" s="12">
        <v>2</v>
      </c>
      <c r="B7" s="18">
        <v>12</v>
      </c>
      <c r="C7" s="12" t="s">
        <v>41</v>
      </c>
      <c r="D7" s="18" t="s">
        <v>31</v>
      </c>
      <c r="E7" s="2" cm="1">
        <f t="array" ref="E7">_xlfn.LET(_xlpm.scores, _xlfn.VSTACK(H7,M7,P7,U7,Z7,AC7,AF7,AI7,AN7,AQ7,AT7,AY7,BB7,BE7,BH7,BM7,BP7,BS7,BV7,BY7,CB7,CE7), IFERROR(AVERAGE(_xlfn._xlws.FILTER(_xlpm.scores, _xlpm.scores&gt;0)), 0))</f>
        <v>0</v>
      </c>
      <c r="F7" s="21">
        <v>0</v>
      </c>
      <c r="G7" s="23">
        <v>0</v>
      </c>
      <c r="H7" s="24">
        <f t="shared" si="0"/>
        <v>0</v>
      </c>
      <c r="I7" s="28">
        <v>0</v>
      </c>
      <c r="J7" s="23">
        <v>0</v>
      </c>
      <c r="K7" s="23">
        <v>0</v>
      </c>
      <c r="L7" s="23">
        <v>0</v>
      </c>
      <c r="M7" s="24">
        <f t="shared" ref="M7:M27" si="2">(AVERAGE(I7:J7)*0.24) + (AVERAGE(K7:L7)*0.76)</f>
        <v>0</v>
      </c>
      <c r="N7" s="28">
        <v>0</v>
      </c>
      <c r="O7" s="23">
        <v>0</v>
      </c>
      <c r="P7" s="24">
        <f t="shared" si="1"/>
        <v>0</v>
      </c>
      <c r="Q7" s="28">
        <v>0</v>
      </c>
      <c r="R7" s="23">
        <v>0</v>
      </c>
      <c r="S7" s="23">
        <v>0</v>
      </c>
      <c r="T7" s="23">
        <v>0</v>
      </c>
      <c r="U7" s="24">
        <f t="shared" ref="U7:U27" si="3">(AVERAGE(Q7:R7)*0.24) + (AVERAGE(S7:T7)*0.76)</f>
        <v>0</v>
      </c>
      <c r="V7" s="28">
        <v>0</v>
      </c>
      <c r="W7" s="23">
        <v>0</v>
      </c>
      <c r="X7" s="23">
        <v>0</v>
      </c>
      <c r="Y7" s="23">
        <v>0</v>
      </c>
      <c r="Z7" s="24">
        <f t="shared" ref="Z7:Z27" si="4">(AVERAGE(V7:W7)*0.24) + (AVERAGE(X7:Y7)*0.76)</f>
        <v>0</v>
      </c>
      <c r="AA7" s="28">
        <v>0</v>
      </c>
      <c r="AB7" s="23">
        <v>0</v>
      </c>
      <c r="AC7" s="24">
        <f>AVERAGE(AA7:AB7)</f>
        <v>0</v>
      </c>
      <c r="AD7" s="28">
        <v>0</v>
      </c>
      <c r="AE7" s="23">
        <v>0</v>
      </c>
      <c r="AF7" s="24">
        <f>AVERAGE(AD7:AE7)</f>
        <v>0</v>
      </c>
      <c r="AG7" s="28">
        <v>0</v>
      </c>
      <c r="AH7" s="23">
        <v>0</v>
      </c>
      <c r="AI7" s="24">
        <f>AVERAGE(AG7:AH7)</f>
        <v>0</v>
      </c>
      <c r="AJ7" s="28">
        <v>0</v>
      </c>
      <c r="AK7" s="23">
        <v>0</v>
      </c>
      <c r="AL7" s="23">
        <v>0</v>
      </c>
      <c r="AM7" s="23">
        <v>0</v>
      </c>
      <c r="AN7" s="24">
        <f t="shared" ref="AN7:AN27" si="5">(AVERAGE(AJ7:AK7)*0.24) + (AVERAGE(AL7:AM7)*0.76)</f>
        <v>0</v>
      </c>
      <c r="AO7" s="28">
        <v>0</v>
      </c>
      <c r="AP7" s="23">
        <v>0</v>
      </c>
      <c r="AQ7" s="24">
        <f>AVERAGE(AO7:AP7)</f>
        <v>0</v>
      </c>
      <c r="AR7" s="28">
        <v>0</v>
      </c>
      <c r="AS7" s="23">
        <v>0</v>
      </c>
      <c r="AT7" s="24">
        <f>AVERAGE(AR7:AS7)</f>
        <v>0</v>
      </c>
      <c r="AU7" s="28">
        <v>0</v>
      </c>
      <c r="AV7" s="23">
        <v>0</v>
      </c>
      <c r="AW7" s="23">
        <v>0</v>
      </c>
      <c r="AX7" s="23">
        <v>0</v>
      </c>
      <c r="AY7" s="24">
        <f t="shared" ref="AY7:AY27" si="6">(AVERAGE(AU7:AV7)*0.24) + (AVERAGE(AW7:AX7)*0.76)</f>
        <v>0</v>
      </c>
      <c r="AZ7" s="28">
        <v>0</v>
      </c>
      <c r="BA7" s="23">
        <v>0</v>
      </c>
      <c r="BB7" s="24">
        <f>AVERAGE(AZ7:BA7)</f>
        <v>0</v>
      </c>
      <c r="BC7" s="28">
        <v>0</v>
      </c>
      <c r="BD7" s="23">
        <v>0</v>
      </c>
      <c r="BE7" s="24">
        <f>AVERAGE(BC7:BD7)</f>
        <v>0</v>
      </c>
      <c r="BF7" s="28">
        <v>0</v>
      </c>
      <c r="BG7" s="23">
        <v>0</v>
      </c>
      <c r="BH7" s="24">
        <f>AVERAGE(BF7:BG7)</f>
        <v>0</v>
      </c>
      <c r="BI7" s="28">
        <v>0</v>
      </c>
      <c r="BJ7" s="23">
        <v>0</v>
      </c>
      <c r="BK7" s="23">
        <v>0</v>
      </c>
      <c r="BL7" s="23">
        <v>0</v>
      </c>
      <c r="BM7" s="24">
        <f t="shared" ref="BM7:BM27" si="7">(AVERAGE(BI7:BJ7)*0.24) + (AVERAGE(BK7:BL7)*0.76)</f>
        <v>0</v>
      </c>
      <c r="BN7" s="28">
        <v>0</v>
      </c>
      <c r="BO7" s="23">
        <v>0</v>
      </c>
      <c r="BP7" s="24">
        <f>AVERAGE(BN7:BO7)</f>
        <v>0</v>
      </c>
      <c r="BQ7" s="28">
        <v>0</v>
      </c>
      <c r="BR7" s="23">
        <v>0</v>
      </c>
      <c r="BS7" s="24">
        <f>AVERAGE(BQ7:BR7)</f>
        <v>0</v>
      </c>
      <c r="BT7" s="28">
        <v>0</v>
      </c>
      <c r="BU7" s="23">
        <v>0</v>
      </c>
      <c r="BV7" s="24">
        <f>AVERAGE(BT7:BU7)</f>
        <v>0</v>
      </c>
      <c r="BW7" s="28">
        <v>0</v>
      </c>
      <c r="BX7" s="23">
        <v>0</v>
      </c>
      <c r="BY7" s="24">
        <f>AVERAGE(BW7:BX7)</f>
        <v>0</v>
      </c>
      <c r="BZ7" s="28">
        <v>0</v>
      </c>
      <c r="CA7" s="23">
        <v>0</v>
      </c>
      <c r="CB7" s="24">
        <f>AVERAGE(BZ7:CA7)</f>
        <v>0</v>
      </c>
      <c r="CC7" s="28">
        <v>0</v>
      </c>
      <c r="CD7" s="23">
        <v>0</v>
      </c>
      <c r="CE7" s="24">
        <f>AVERAGE(CC7:CD7)</f>
        <v>0</v>
      </c>
    </row>
    <row r="8" spans="1:83" s="2" customFormat="1" x14ac:dyDescent="0.35">
      <c r="A8" s="12">
        <v>3</v>
      </c>
      <c r="B8" s="1">
        <v>1</v>
      </c>
      <c r="C8" s="12" t="s">
        <v>43</v>
      </c>
      <c r="D8" s="1" t="s">
        <v>30</v>
      </c>
      <c r="E8" s="2" cm="1">
        <f t="array" ref="E8">_xlfn.LET(_xlpm.scores, _xlfn.VSTACK(H8,M8,P8,U8,Z8,AC8,AF8,AI8,AN8,AQ8,AT8,AY8,BB8,BE8,BH8,BM8,BP8,BS8,BV8,BY8,CB8,CE8), IFERROR(AVERAGE(_xlfn._xlws.FILTER(_xlpm.scores, _xlpm.scores&gt;0)), 0))</f>
        <v>8.6859999999999999</v>
      </c>
      <c r="F8" s="21">
        <v>0</v>
      </c>
      <c r="G8" s="23">
        <v>0</v>
      </c>
      <c r="H8" s="24">
        <f t="shared" si="0"/>
        <v>0</v>
      </c>
      <c r="I8" s="28">
        <v>0</v>
      </c>
      <c r="J8" s="23">
        <v>0</v>
      </c>
      <c r="K8" s="23">
        <v>0</v>
      </c>
      <c r="L8" s="23">
        <v>0</v>
      </c>
      <c r="M8" s="24">
        <f t="shared" si="2"/>
        <v>0</v>
      </c>
      <c r="N8" s="28">
        <v>0</v>
      </c>
      <c r="O8" s="23">
        <v>0</v>
      </c>
      <c r="P8" s="24">
        <f t="shared" si="1"/>
        <v>0</v>
      </c>
      <c r="Q8" s="28">
        <v>0</v>
      </c>
      <c r="R8" s="23">
        <v>0</v>
      </c>
      <c r="S8" s="23">
        <v>0</v>
      </c>
      <c r="T8" s="23">
        <v>0</v>
      </c>
      <c r="U8" s="24">
        <f t="shared" si="3"/>
        <v>0</v>
      </c>
      <c r="V8" s="28">
        <v>8.75</v>
      </c>
      <c r="W8" s="23">
        <v>9.8000000000000007</v>
      </c>
      <c r="X8" s="23">
        <v>8.5</v>
      </c>
      <c r="Y8" s="23">
        <v>8.5</v>
      </c>
      <c r="Z8" s="24">
        <f t="shared" si="4"/>
        <v>8.6859999999999999</v>
      </c>
      <c r="AA8" s="28">
        <v>0</v>
      </c>
      <c r="AB8" s="23">
        <v>0</v>
      </c>
      <c r="AC8" s="24">
        <f t="shared" ref="AC8:AC26" si="8">AVERAGE(AA8:AB8)</f>
        <v>0</v>
      </c>
      <c r="AD8" s="28">
        <v>0</v>
      </c>
      <c r="AE8" s="23">
        <v>0</v>
      </c>
      <c r="AF8" s="24">
        <f t="shared" ref="AF8:AF10" si="9">AVERAGE(AD8:AE8)</f>
        <v>0</v>
      </c>
      <c r="AG8" s="28">
        <v>0</v>
      </c>
      <c r="AH8" s="23">
        <v>0</v>
      </c>
      <c r="AI8" s="24">
        <f t="shared" ref="AI8:AI10" si="10">AVERAGE(AG8:AH8)</f>
        <v>0</v>
      </c>
      <c r="AJ8" s="28">
        <v>0</v>
      </c>
      <c r="AK8" s="23">
        <v>0</v>
      </c>
      <c r="AL8" s="23">
        <v>0</v>
      </c>
      <c r="AM8" s="23">
        <v>0</v>
      </c>
      <c r="AN8" s="24">
        <f t="shared" si="5"/>
        <v>0</v>
      </c>
      <c r="AO8" s="28">
        <v>0</v>
      </c>
      <c r="AP8" s="23">
        <v>0</v>
      </c>
      <c r="AQ8" s="24">
        <f t="shared" ref="AQ8:AQ10" si="11">AVERAGE(AO8:AP8)</f>
        <v>0</v>
      </c>
      <c r="AR8" s="28">
        <v>0</v>
      </c>
      <c r="AS8" s="23">
        <v>0</v>
      </c>
      <c r="AT8" s="24">
        <f t="shared" ref="AT8:AT10" si="12">AVERAGE(AR8:AS8)</f>
        <v>0</v>
      </c>
      <c r="AU8" s="28">
        <v>0</v>
      </c>
      <c r="AV8" s="23">
        <v>0</v>
      </c>
      <c r="AW8" s="23">
        <v>0</v>
      </c>
      <c r="AX8" s="23">
        <v>0</v>
      </c>
      <c r="AY8" s="24">
        <f t="shared" si="6"/>
        <v>0</v>
      </c>
      <c r="AZ8" s="28">
        <v>0</v>
      </c>
      <c r="BA8" s="23">
        <v>0</v>
      </c>
      <c r="BB8" s="24">
        <f t="shared" ref="BB8:BB10" si="13">AVERAGE(AZ8:BA8)</f>
        <v>0</v>
      </c>
      <c r="BC8" s="28">
        <v>0</v>
      </c>
      <c r="BD8" s="23">
        <v>0</v>
      </c>
      <c r="BE8" s="24">
        <f t="shared" ref="BE8:BE10" si="14">AVERAGE(BC8:BD8)</f>
        <v>0</v>
      </c>
      <c r="BF8" s="28">
        <v>0</v>
      </c>
      <c r="BG8" s="23">
        <v>0</v>
      </c>
      <c r="BH8" s="24">
        <f t="shared" ref="BH8:BH10" si="15">AVERAGE(BF8:BG8)</f>
        <v>0</v>
      </c>
      <c r="BI8" s="28">
        <v>0</v>
      </c>
      <c r="BJ8" s="23">
        <v>0</v>
      </c>
      <c r="BK8" s="23">
        <v>0</v>
      </c>
      <c r="BL8" s="23">
        <v>0</v>
      </c>
      <c r="BM8" s="24">
        <f t="shared" si="7"/>
        <v>0</v>
      </c>
      <c r="BN8" s="28">
        <v>0</v>
      </c>
      <c r="BO8" s="23">
        <v>0</v>
      </c>
      <c r="BP8" s="24">
        <f t="shared" ref="BP8:BP10" si="16">AVERAGE(BN8:BO8)</f>
        <v>0</v>
      </c>
      <c r="BQ8" s="28">
        <v>0</v>
      </c>
      <c r="BR8" s="23">
        <v>0</v>
      </c>
      <c r="BS8" s="24">
        <f t="shared" ref="BS8:BS10" si="17">AVERAGE(BQ8:BR8)</f>
        <v>0</v>
      </c>
      <c r="BT8" s="28">
        <v>0</v>
      </c>
      <c r="BU8" s="23">
        <v>0</v>
      </c>
      <c r="BV8" s="24">
        <f t="shared" ref="BV8:BV10" si="18">AVERAGE(BT8:BU8)</f>
        <v>0</v>
      </c>
      <c r="BW8" s="28">
        <v>0</v>
      </c>
      <c r="BX8" s="23">
        <v>0</v>
      </c>
      <c r="BY8" s="24">
        <f t="shared" ref="BY8:BY10" si="19">AVERAGE(BW8:BX8)</f>
        <v>0</v>
      </c>
      <c r="BZ8" s="28">
        <v>0</v>
      </c>
      <c r="CA8" s="23">
        <v>0</v>
      </c>
      <c r="CB8" s="24">
        <f t="shared" ref="CB8:CB10" si="20">AVERAGE(BZ8:CA8)</f>
        <v>0</v>
      </c>
      <c r="CC8" s="28">
        <v>0</v>
      </c>
      <c r="CD8" s="23">
        <v>0</v>
      </c>
      <c r="CE8" s="24">
        <f t="shared" ref="CE8:CE10" si="21">AVERAGE(CC8:CD8)</f>
        <v>0</v>
      </c>
    </row>
    <row r="9" spans="1:83" s="2" customFormat="1" x14ac:dyDescent="0.35">
      <c r="A9" s="12">
        <v>4</v>
      </c>
      <c r="B9" s="1">
        <v>81</v>
      </c>
      <c r="C9" s="12" t="s">
        <v>44</v>
      </c>
      <c r="D9" s="1" t="s">
        <v>30</v>
      </c>
      <c r="E9" s="2" cm="1">
        <f t="array" ref="E9">_xlfn.LET(_xlpm.scores, _xlfn.VSTACK(H9,M9,P9,U9,Z9,AC9,AF9,AI9,AN9,AQ9,AT9,AY9,BB9,BE9,BH9,BM9,BP9,BS9,BV9,BY9,CB9,CE9), IFERROR(AVERAGE(_xlfn._xlws.FILTER(_xlpm.scores, _xlpm.scores&gt;0)), 0))</f>
        <v>5.827</v>
      </c>
      <c r="F9" s="21">
        <v>0</v>
      </c>
      <c r="G9" s="23">
        <v>0</v>
      </c>
      <c r="H9" s="24">
        <f t="shared" si="0"/>
        <v>0</v>
      </c>
      <c r="I9" s="28">
        <v>0</v>
      </c>
      <c r="J9" s="23">
        <v>0</v>
      </c>
      <c r="K9" s="23">
        <v>0</v>
      </c>
      <c r="L9" s="23">
        <v>0</v>
      </c>
      <c r="M9" s="24">
        <f t="shared" si="2"/>
        <v>0</v>
      </c>
      <c r="N9" s="28">
        <v>0</v>
      </c>
      <c r="O9" s="23">
        <v>0</v>
      </c>
      <c r="P9" s="24">
        <f t="shared" si="1"/>
        <v>0</v>
      </c>
      <c r="Q9" s="28">
        <v>0</v>
      </c>
      <c r="R9" s="23">
        <v>0</v>
      </c>
      <c r="S9" s="23">
        <v>0</v>
      </c>
      <c r="T9" s="23">
        <v>0</v>
      </c>
      <c r="U9" s="24">
        <f t="shared" si="3"/>
        <v>0</v>
      </c>
      <c r="V9" s="28">
        <v>8.5</v>
      </c>
      <c r="W9" s="23">
        <v>7.6</v>
      </c>
      <c r="X9" s="23">
        <v>8.25</v>
      </c>
      <c r="Y9" s="23">
        <v>2</v>
      </c>
      <c r="Z9" s="24">
        <f t="shared" si="4"/>
        <v>5.827</v>
      </c>
      <c r="AA9" s="28">
        <v>0</v>
      </c>
      <c r="AB9" s="23">
        <v>0</v>
      </c>
      <c r="AC9" s="24">
        <f t="shared" si="8"/>
        <v>0</v>
      </c>
      <c r="AD9" s="28">
        <v>0</v>
      </c>
      <c r="AE9" s="23">
        <v>0</v>
      </c>
      <c r="AF9" s="24">
        <f t="shared" si="9"/>
        <v>0</v>
      </c>
      <c r="AG9" s="28">
        <v>0</v>
      </c>
      <c r="AH9" s="23">
        <v>0</v>
      </c>
      <c r="AI9" s="24">
        <f t="shared" si="10"/>
        <v>0</v>
      </c>
      <c r="AJ9" s="28">
        <v>0</v>
      </c>
      <c r="AK9" s="23">
        <v>0</v>
      </c>
      <c r="AL9" s="23">
        <v>0</v>
      </c>
      <c r="AM9" s="23">
        <v>0</v>
      </c>
      <c r="AN9" s="24">
        <f t="shared" si="5"/>
        <v>0</v>
      </c>
      <c r="AO9" s="28">
        <v>0</v>
      </c>
      <c r="AP9" s="23">
        <v>0</v>
      </c>
      <c r="AQ9" s="24">
        <f t="shared" si="11"/>
        <v>0</v>
      </c>
      <c r="AR9" s="28">
        <v>0</v>
      </c>
      <c r="AS9" s="23">
        <v>0</v>
      </c>
      <c r="AT9" s="24">
        <f t="shared" si="12"/>
        <v>0</v>
      </c>
      <c r="AU9" s="28">
        <v>0</v>
      </c>
      <c r="AV9" s="23">
        <v>0</v>
      </c>
      <c r="AW9" s="23">
        <v>0</v>
      </c>
      <c r="AX9" s="23">
        <v>0</v>
      </c>
      <c r="AY9" s="24">
        <f t="shared" si="6"/>
        <v>0</v>
      </c>
      <c r="AZ9" s="28">
        <v>0</v>
      </c>
      <c r="BA9" s="23">
        <v>0</v>
      </c>
      <c r="BB9" s="24">
        <f t="shared" si="13"/>
        <v>0</v>
      </c>
      <c r="BC9" s="28">
        <v>0</v>
      </c>
      <c r="BD9" s="23">
        <v>0</v>
      </c>
      <c r="BE9" s="24">
        <f t="shared" si="14"/>
        <v>0</v>
      </c>
      <c r="BF9" s="28">
        <v>0</v>
      </c>
      <c r="BG9" s="23">
        <v>0</v>
      </c>
      <c r="BH9" s="24">
        <f t="shared" si="15"/>
        <v>0</v>
      </c>
      <c r="BI9" s="28">
        <v>0</v>
      </c>
      <c r="BJ9" s="23">
        <v>0</v>
      </c>
      <c r="BK9" s="23">
        <v>0</v>
      </c>
      <c r="BL9" s="23">
        <v>0</v>
      </c>
      <c r="BM9" s="24">
        <f t="shared" si="7"/>
        <v>0</v>
      </c>
      <c r="BN9" s="28">
        <v>0</v>
      </c>
      <c r="BO9" s="23">
        <v>0</v>
      </c>
      <c r="BP9" s="24">
        <f t="shared" si="16"/>
        <v>0</v>
      </c>
      <c r="BQ9" s="28">
        <v>0</v>
      </c>
      <c r="BR9" s="23">
        <v>0</v>
      </c>
      <c r="BS9" s="24">
        <f t="shared" si="17"/>
        <v>0</v>
      </c>
      <c r="BT9" s="28">
        <v>0</v>
      </c>
      <c r="BU9" s="23">
        <v>0</v>
      </c>
      <c r="BV9" s="24">
        <f t="shared" si="18"/>
        <v>0</v>
      </c>
      <c r="BW9" s="28">
        <v>0</v>
      </c>
      <c r="BX9" s="23">
        <v>0</v>
      </c>
      <c r="BY9" s="24">
        <f t="shared" si="19"/>
        <v>0</v>
      </c>
      <c r="BZ9" s="28">
        <v>0</v>
      </c>
      <c r="CA9" s="23">
        <v>0</v>
      </c>
      <c r="CB9" s="24">
        <f t="shared" si="20"/>
        <v>0</v>
      </c>
      <c r="CC9" s="28">
        <v>0</v>
      </c>
      <c r="CD9" s="23">
        <v>0</v>
      </c>
      <c r="CE9" s="24">
        <f t="shared" si="21"/>
        <v>0</v>
      </c>
    </row>
    <row r="10" spans="1:83" s="2" customFormat="1" x14ac:dyDescent="0.35">
      <c r="A10" s="12">
        <v>5</v>
      </c>
      <c r="B10" s="3">
        <v>16</v>
      </c>
      <c r="C10" s="12" t="s">
        <v>45</v>
      </c>
      <c r="D10" s="3" t="s">
        <v>32</v>
      </c>
      <c r="E10" s="2" cm="1">
        <f t="array" ref="E10">_xlfn.LET(_xlpm.scores, _xlfn.VSTACK(H10,M10,P10,U10,Z10,AC10,AF10,AI10,AN10,AQ10,AT10,AY10,BB10,BE10,BH10,BM10,BP10,BS10,BV10,BY10,CB10,CE10), IFERROR(AVERAGE(_xlfn._xlws.FILTER(_xlpm.scores, _xlpm.scores&gt;0)), 0))</f>
        <v>0</v>
      </c>
      <c r="F10" s="21">
        <v>0</v>
      </c>
      <c r="G10" s="23">
        <v>0</v>
      </c>
      <c r="H10" s="24">
        <f t="shared" si="0"/>
        <v>0</v>
      </c>
      <c r="I10" s="28">
        <v>0</v>
      </c>
      <c r="J10" s="23">
        <v>0</v>
      </c>
      <c r="K10" s="23">
        <v>0</v>
      </c>
      <c r="L10" s="23">
        <v>0</v>
      </c>
      <c r="M10" s="24">
        <f t="shared" si="2"/>
        <v>0</v>
      </c>
      <c r="N10" s="28">
        <v>0</v>
      </c>
      <c r="O10" s="23">
        <v>0</v>
      </c>
      <c r="P10" s="24">
        <f t="shared" si="1"/>
        <v>0</v>
      </c>
      <c r="Q10" s="28">
        <v>0</v>
      </c>
      <c r="R10" s="23">
        <v>0</v>
      </c>
      <c r="S10" s="23">
        <v>0</v>
      </c>
      <c r="T10" s="23">
        <v>0</v>
      </c>
      <c r="U10" s="24">
        <f t="shared" si="3"/>
        <v>0</v>
      </c>
      <c r="V10" s="28">
        <v>0</v>
      </c>
      <c r="W10" s="23">
        <v>0</v>
      </c>
      <c r="X10" s="23">
        <v>0</v>
      </c>
      <c r="Y10" s="23">
        <v>0</v>
      </c>
      <c r="Z10" s="24">
        <f t="shared" si="4"/>
        <v>0</v>
      </c>
      <c r="AA10" s="28">
        <v>0</v>
      </c>
      <c r="AB10" s="23">
        <v>0</v>
      </c>
      <c r="AC10" s="24">
        <f t="shared" si="8"/>
        <v>0</v>
      </c>
      <c r="AD10" s="28">
        <v>0</v>
      </c>
      <c r="AE10" s="23">
        <v>0</v>
      </c>
      <c r="AF10" s="24">
        <f t="shared" si="9"/>
        <v>0</v>
      </c>
      <c r="AG10" s="28">
        <v>0</v>
      </c>
      <c r="AH10" s="23">
        <v>0</v>
      </c>
      <c r="AI10" s="24">
        <f t="shared" si="10"/>
        <v>0</v>
      </c>
      <c r="AJ10" s="28">
        <v>0</v>
      </c>
      <c r="AK10" s="23">
        <v>0</v>
      </c>
      <c r="AL10" s="23">
        <v>0</v>
      </c>
      <c r="AM10" s="23">
        <v>0</v>
      </c>
      <c r="AN10" s="24">
        <f t="shared" si="5"/>
        <v>0</v>
      </c>
      <c r="AO10" s="28">
        <v>0</v>
      </c>
      <c r="AP10" s="23">
        <v>0</v>
      </c>
      <c r="AQ10" s="24">
        <f t="shared" si="11"/>
        <v>0</v>
      </c>
      <c r="AR10" s="28">
        <v>0</v>
      </c>
      <c r="AS10" s="23">
        <v>0</v>
      </c>
      <c r="AT10" s="24">
        <f t="shared" si="12"/>
        <v>0</v>
      </c>
      <c r="AU10" s="28">
        <v>0</v>
      </c>
      <c r="AV10" s="23">
        <v>0</v>
      </c>
      <c r="AW10" s="23">
        <v>0</v>
      </c>
      <c r="AX10" s="23">
        <v>0</v>
      </c>
      <c r="AY10" s="24">
        <f t="shared" si="6"/>
        <v>0</v>
      </c>
      <c r="AZ10" s="28">
        <v>0</v>
      </c>
      <c r="BA10" s="23">
        <v>0</v>
      </c>
      <c r="BB10" s="24">
        <f t="shared" si="13"/>
        <v>0</v>
      </c>
      <c r="BC10" s="28">
        <v>0</v>
      </c>
      <c r="BD10" s="23">
        <v>0</v>
      </c>
      <c r="BE10" s="24">
        <f t="shared" si="14"/>
        <v>0</v>
      </c>
      <c r="BF10" s="28">
        <v>0</v>
      </c>
      <c r="BG10" s="23">
        <v>0</v>
      </c>
      <c r="BH10" s="24">
        <f t="shared" si="15"/>
        <v>0</v>
      </c>
      <c r="BI10" s="28">
        <v>0</v>
      </c>
      <c r="BJ10" s="23">
        <v>0</v>
      </c>
      <c r="BK10" s="23">
        <v>0</v>
      </c>
      <c r="BL10" s="23">
        <v>0</v>
      </c>
      <c r="BM10" s="24">
        <f t="shared" si="7"/>
        <v>0</v>
      </c>
      <c r="BN10" s="28">
        <v>0</v>
      </c>
      <c r="BO10" s="23">
        <v>0</v>
      </c>
      <c r="BP10" s="24">
        <f t="shared" si="16"/>
        <v>0</v>
      </c>
      <c r="BQ10" s="28">
        <v>0</v>
      </c>
      <c r="BR10" s="23">
        <v>0</v>
      </c>
      <c r="BS10" s="24">
        <f t="shared" si="17"/>
        <v>0</v>
      </c>
      <c r="BT10" s="28">
        <v>0</v>
      </c>
      <c r="BU10" s="23">
        <v>0</v>
      </c>
      <c r="BV10" s="24">
        <f t="shared" si="18"/>
        <v>0</v>
      </c>
      <c r="BW10" s="28">
        <v>0</v>
      </c>
      <c r="BX10" s="23">
        <v>0</v>
      </c>
      <c r="BY10" s="24">
        <f t="shared" si="19"/>
        <v>0</v>
      </c>
      <c r="BZ10" s="28">
        <v>0</v>
      </c>
      <c r="CA10" s="23">
        <v>0</v>
      </c>
      <c r="CB10" s="24">
        <f t="shared" si="20"/>
        <v>0</v>
      </c>
      <c r="CC10" s="28">
        <v>0</v>
      </c>
      <c r="CD10" s="23">
        <v>0</v>
      </c>
      <c r="CE10" s="24">
        <f t="shared" si="21"/>
        <v>0</v>
      </c>
    </row>
    <row r="11" spans="1:83" s="2" customFormat="1" x14ac:dyDescent="0.35">
      <c r="A11" s="12">
        <v>6</v>
      </c>
      <c r="B11" s="3">
        <v>44</v>
      </c>
      <c r="C11" s="12" t="s">
        <v>46</v>
      </c>
      <c r="D11" s="3" t="s">
        <v>32</v>
      </c>
      <c r="E11" s="2" cm="1">
        <f t="array" ref="E11">_xlfn.LET(_xlpm.scores, _xlfn.VSTACK(H11,M11,P11,U11,Z11,AC11,AF11,AI11,AN11,AQ11,AT11,AY11,BB11,BE11,BH11,BM11,BP11,BS11,BV11,BY11,CB11,CE11), IFERROR(AVERAGE(_xlfn._xlws.FILTER(_xlpm.scores, _xlpm.scores&gt;0)), 0))</f>
        <v>0</v>
      </c>
      <c r="F11" s="21">
        <v>0</v>
      </c>
      <c r="G11" s="23">
        <v>0</v>
      </c>
      <c r="H11" s="24">
        <f t="shared" si="0"/>
        <v>0</v>
      </c>
      <c r="I11" s="28">
        <v>0</v>
      </c>
      <c r="J11" s="23">
        <v>0</v>
      </c>
      <c r="K11" s="23">
        <v>0</v>
      </c>
      <c r="L11" s="23">
        <v>0</v>
      </c>
      <c r="M11" s="24">
        <f t="shared" si="2"/>
        <v>0</v>
      </c>
      <c r="N11" s="28">
        <v>0</v>
      </c>
      <c r="O11" s="23">
        <v>0</v>
      </c>
      <c r="P11" s="24">
        <f t="shared" si="1"/>
        <v>0</v>
      </c>
      <c r="Q11" s="28">
        <v>0</v>
      </c>
      <c r="R11" s="23">
        <v>0</v>
      </c>
      <c r="S11" s="23">
        <v>0</v>
      </c>
      <c r="T11" s="23">
        <v>0</v>
      </c>
      <c r="U11" s="24">
        <f t="shared" si="3"/>
        <v>0</v>
      </c>
      <c r="V11" s="28">
        <v>0</v>
      </c>
      <c r="W11" s="23">
        <v>0</v>
      </c>
      <c r="X11" s="23">
        <v>0</v>
      </c>
      <c r="Y11" s="23">
        <v>0</v>
      </c>
      <c r="Z11" s="24">
        <f t="shared" si="4"/>
        <v>0</v>
      </c>
      <c r="AA11" s="28">
        <v>0</v>
      </c>
      <c r="AB11" s="23">
        <v>0</v>
      </c>
      <c r="AC11" s="24">
        <f t="shared" ref="AC11:AC17" si="22">AVERAGE(AA11:AB11)</f>
        <v>0</v>
      </c>
      <c r="AD11" s="28">
        <v>0</v>
      </c>
      <c r="AE11" s="23">
        <v>0</v>
      </c>
      <c r="AF11" s="24">
        <f t="shared" ref="AF11:AF17" si="23">AVERAGE(AD11:AE11)</f>
        <v>0</v>
      </c>
      <c r="AG11" s="28">
        <v>0</v>
      </c>
      <c r="AH11" s="23">
        <v>0</v>
      </c>
      <c r="AI11" s="24">
        <f t="shared" ref="AI11:AI17" si="24">AVERAGE(AG11:AH11)</f>
        <v>0</v>
      </c>
      <c r="AJ11" s="28">
        <v>0</v>
      </c>
      <c r="AK11" s="23">
        <v>0</v>
      </c>
      <c r="AL11" s="23">
        <v>0</v>
      </c>
      <c r="AM11" s="23">
        <v>0</v>
      </c>
      <c r="AN11" s="24">
        <f t="shared" si="5"/>
        <v>0</v>
      </c>
      <c r="AO11" s="28">
        <v>0</v>
      </c>
      <c r="AP11" s="23">
        <v>0</v>
      </c>
      <c r="AQ11" s="24">
        <f t="shared" ref="AQ11:AQ17" si="25">AVERAGE(AO11:AP11)</f>
        <v>0</v>
      </c>
      <c r="AR11" s="28">
        <v>0</v>
      </c>
      <c r="AS11" s="23">
        <v>0</v>
      </c>
      <c r="AT11" s="24">
        <f t="shared" ref="AT11:AT17" si="26">AVERAGE(AR11:AS11)</f>
        <v>0</v>
      </c>
      <c r="AU11" s="28">
        <v>0</v>
      </c>
      <c r="AV11" s="23">
        <v>0</v>
      </c>
      <c r="AW11" s="23">
        <v>0</v>
      </c>
      <c r="AX11" s="23">
        <v>0</v>
      </c>
      <c r="AY11" s="24">
        <f t="shared" si="6"/>
        <v>0</v>
      </c>
      <c r="AZ11" s="28">
        <v>0</v>
      </c>
      <c r="BA11" s="23">
        <v>0</v>
      </c>
      <c r="BB11" s="24">
        <f t="shared" ref="BB11:BB17" si="27">AVERAGE(AZ11:BA11)</f>
        <v>0</v>
      </c>
      <c r="BC11" s="28">
        <v>0</v>
      </c>
      <c r="BD11" s="23">
        <v>0</v>
      </c>
      <c r="BE11" s="24">
        <f t="shared" ref="BE11:BE17" si="28">AVERAGE(BC11:BD11)</f>
        <v>0</v>
      </c>
      <c r="BF11" s="28">
        <v>0</v>
      </c>
      <c r="BG11" s="23">
        <v>0</v>
      </c>
      <c r="BH11" s="24">
        <f t="shared" ref="BH11:BH17" si="29">AVERAGE(BF11:BG11)</f>
        <v>0</v>
      </c>
      <c r="BI11" s="28">
        <v>0</v>
      </c>
      <c r="BJ11" s="23">
        <v>0</v>
      </c>
      <c r="BK11" s="23">
        <v>0</v>
      </c>
      <c r="BL11" s="23">
        <v>0</v>
      </c>
      <c r="BM11" s="24">
        <f t="shared" si="7"/>
        <v>0</v>
      </c>
      <c r="BN11" s="28">
        <v>0</v>
      </c>
      <c r="BO11" s="23">
        <v>0</v>
      </c>
      <c r="BP11" s="24">
        <f t="shared" ref="BP11:BP17" si="30">AVERAGE(BN11:BO11)</f>
        <v>0</v>
      </c>
      <c r="BQ11" s="28">
        <v>0</v>
      </c>
      <c r="BR11" s="23">
        <v>0</v>
      </c>
      <c r="BS11" s="24">
        <f t="shared" ref="BS11:BS17" si="31">AVERAGE(BQ11:BR11)</f>
        <v>0</v>
      </c>
      <c r="BT11" s="28">
        <v>0</v>
      </c>
      <c r="BU11" s="23">
        <v>0</v>
      </c>
      <c r="BV11" s="24">
        <f t="shared" ref="BV11:BV17" si="32">AVERAGE(BT11:BU11)</f>
        <v>0</v>
      </c>
      <c r="BW11" s="28">
        <v>0</v>
      </c>
      <c r="BX11" s="23">
        <v>0</v>
      </c>
      <c r="BY11" s="24">
        <f t="shared" ref="BY11:BY17" si="33">AVERAGE(BW11:BX11)</f>
        <v>0</v>
      </c>
      <c r="BZ11" s="28">
        <v>0</v>
      </c>
      <c r="CA11" s="23">
        <v>0</v>
      </c>
      <c r="CB11" s="24">
        <f t="shared" ref="CB11:CB17" si="34">AVERAGE(BZ11:CA11)</f>
        <v>0</v>
      </c>
      <c r="CC11" s="28">
        <v>0</v>
      </c>
      <c r="CD11" s="23">
        <v>0</v>
      </c>
      <c r="CE11" s="24">
        <f t="shared" ref="CE11:CE17" si="35">AVERAGE(CC11:CD11)</f>
        <v>0</v>
      </c>
    </row>
    <row r="12" spans="1:83" s="2" customFormat="1" x14ac:dyDescent="0.35">
      <c r="A12" s="12">
        <v>7</v>
      </c>
      <c r="B12" s="4">
        <v>3</v>
      </c>
      <c r="C12" s="12" t="s">
        <v>47</v>
      </c>
      <c r="D12" s="4" t="s">
        <v>33</v>
      </c>
      <c r="E12" s="2" cm="1">
        <f t="array" ref="E12">_xlfn.LET(_xlpm.scores, _xlfn.VSTACK(H12,M12,P12,U12,Z12,AC12,AF12,AI12,AN12,AQ12,AT12,AY12,BB12,BE12,BH12,BM12,BP12,BS12,BV12,BY12,CB12,CE12), IFERROR(AVERAGE(_xlfn._xlws.FILTER(_xlpm.scores, _xlpm.scores&gt;0)), 0))</f>
        <v>0</v>
      </c>
      <c r="F12" s="21">
        <v>0</v>
      </c>
      <c r="G12" s="23">
        <v>0</v>
      </c>
      <c r="H12" s="24">
        <f t="shared" si="0"/>
        <v>0</v>
      </c>
      <c r="I12" s="28">
        <v>0</v>
      </c>
      <c r="J12" s="23">
        <v>0</v>
      </c>
      <c r="K12" s="23">
        <v>0</v>
      </c>
      <c r="L12" s="23">
        <v>0</v>
      </c>
      <c r="M12" s="24">
        <f t="shared" si="2"/>
        <v>0</v>
      </c>
      <c r="N12" s="28">
        <v>0</v>
      </c>
      <c r="O12" s="23">
        <v>0</v>
      </c>
      <c r="P12" s="24">
        <f t="shared" si="1"/>
        <v>0</v>
      </c>
      <c r="Q12" s="28">
        <v>0</v>
      </c>
      <c r="R12" s="23">
        <v>0</v>
      </c>
      <c r="S12" s="23">
        <v>0</v>
      </c>
      <c r="T12" s="23">
        <v>0</v>
      </c>
      <c r="U12" s="24">
        <f t="shared" si="3"/>
        <v>0</v>
      </c>
      <c r="V12" s="28">
        <v>0</v>
      </c>
      <c r="W12" s="23">
        <v>0</v>
      </c>
      <c r="X12" s="23">
        <v>0</v>
      </c>
      <c r="Y12" s="23">
        <v>0</v>
      </c>
      <c r="Z12" s="24">
        <f t="shared" si="4"/>
        <v>0</v>
      </c>
      <c r="AA12" s="28">
        <v>0</v>
      </c>
      <c r="AB12" s="23">
        <v>0</v>
      </c>
      <c r="AC12" s="24">
        <f t="shared" si="22"/>
        <v>0</v>
      </c>
      <c r="AD12" s="28">
        <v>0</v>
      </c>
      <c r="AE12" s="23">
        <v>0</v>
      </c>
      <c r="AF12" s="24">
        <f t="shared" si="23"/>
        <v>0</v>
      </c>
      <c r="AG12" s="28">
        <v>0</v>
      </c>
      <c r="AH12" s="23">
        <v>0</v>
      </c>
      <c r="AI12" s="24">
        <f t="shared" si="24"/>
        <v>0</v>
      </c>
      <c r="AJ12" s="28">
        <v>0</v>
      </c>
      <c r="AK12" s="23">
        <v>0</v>
      </c>
      <c r="AL12" s="23">
        <v>0</v>
      </c>
      <c r="AM12" s="23">
        <v>0</v>
      </c>
      <c r="AN12" s="24">
        <f t="shared" si="5"/>
        <v>0</v>
      </c>
      <c r="AO12" s="28">
        <v>0</v>
      </c>
      <c r="AP12" s="23">
        <v>0</v>
      </c>
      <c r="AQ12" s="24">
        <f t="shared" si="25"/>
        <v>0</v>
      </c>
      <c r="AR12" s="28">
        <v>0</v>
      </c>
      <c r="AS12" s="23">
        <v>0</v>
      </c>
      <c r="AT12" s="24">
        <f t="shared" si="26"/>
        <v>0</v>
      </c>
      <c r="AU12" s="28">
        <v>0</v>
      </c>
      <c r="AV12" s="23">
        <v>0</v>
      </c>
      <c r="AW12" s="23">
        <v>0</v>
      </c>
      <c r="AX12" s="23">
        <v>0</v>
      </c>
      <c r="AY12" s="24">
        <f t="shared" si="6"/>
        <v>0</v>
      </c>
      <c r="AZ12" s="28">
        <v>0</v>
      </c>
      <c r="BA12" s="23">
        <v>0</v>
      </c>
      <c r="BB12" s="24">
        <f t="shared" si="27"/>
        <v>0</v>
      </c>
      <c r="BC12" s="28">
        <v>0</v>
      </c>
      <c r="BD12" s="23">
        <v>0</v>
      </c>
      <c r="BE12" s="24">
        <f t="shared" si="28"/>
        <v>0</v>
      </c>
      <c r="BF12" s="28">
        <v>0</v>
      </c>
      <c r="BG12" s="23">
        <v>0</v>
      </c>
      <c r="BH12" s="24">
        <f t="shared" si="29"/>
        <v>0</v>
      </c>
      <c r="BI12" s="28">
        <v>0</v>
      </c>
      <c r="BJ12" s="23">
        <v>0</v>
      </c>
      <c r="BK12" s="23">
        <v>0</v>
      </c>
      <c r="BL12" s="23">
        <v>0</v>
      </c>
      <c r="BM12" s="24">
        <f t="shared" si="7"/>
        <v>0</v>
      </c>
      <c r="BN12" s="28">
        <v>0</v>
      </c>
      <c r="BO12" s="23">
        <v>0</v>
      </c>
      <c r="BP12" s="24">
        <f t="shared" si="30"/>
        <v>0</v>
      </c>
      <c r="BQ12" s="28">
        <v>0</v>
      </c>
      <c r="BR12" s="23">
        <v>0</v>
      </c>
      <c r="BS12" s="24">
        <f t="shared" si="31"/>
        <v>0</v>
      </c>
      <c r="BT12" s="28">
        <v>0</v>
      </c>
      <c r="BU12" s="23">
        <v>0</v>
      </c>
      <c r="BV12" s="24">
        <f t="shared" si="32"/>
        <v>0</v>
      </c>
      <c r="BW12" s="28">
        <v>0</v>
      </c>
      <c r="BX12" s="23">
        <v>0</v>
      </c>
      <c r="BY12" s="24">
        <f t="shared" si="33"/>
        <v>0</v>
      </c>
      <c r="BZ12" s="28">
        <v>0</v>
      </c>
      <c r="CA12" s="23">
        <v>0</v>
      </c>
      <c r="CB12" s="24">
        <f t="shared" si="34"/>
        <v>0</v>
      </c>
      <c r="CC12" s="28">
        <v>0</v>
      </c>
      <c r="CD12" s="23">
        <v>0</v>
      </c>
      <c r="CE12" s="24">
        <f t="shared" si="35"/>
        <v>0</v>
      </c>
    </row>
    <row r="13" spans="1:83" s="2" customFormat="1" x14ac:dyDescent="0.35">
      <c r="A13" s="12">
        <v>8</v>
      </c>
      <c r="B13" s="4">
        <v>6</v>
      </c>
      <c r="C13" s="12" t="s">
        <v>48</v>
      </c>
      <c r="D13" s="4" t="s">
        <v>33</v>
      </c>
      <c r="E13" s="2" cm="1">
        <f t="array" ref="E13">_xlfn.LET(_xlpm.scores, _xlfn.VSTACK(H13,M13,P13,U13,Z13,AC13,AF13,AI13,AN13,AQ13,AT13,AY13,BB13,BE13,BH13,BM13,BP13,BS13,BV13,BY13,CB13,CE13), IFERROR(AVERAGE(_xlfn._xlws.FILTER(_xlpm.scores, _xlpm.scores&gt;0)), 0))</f>
        <v>0</v>
      </c>
      <c r="F13" s="21">
        <v>0</v>
      </c>
      <c r="G13" s="23">
        <v>0</v>
      </c>
      <c r="H13" s="24">
        <f t="shared" si="0"/>
        <v>0</v>
      </c>
      <c r="I13" s="28">
        <v>0</v>
      </c>
      <c r="J13" s="23">
        <v>0</v>
      </c>
      <c r="K13" s="23">
        <v>0</v>
      </c>
      <c r="L13" s="23">
        <v>0</v>
      </c>
      <c r="M13" s="24">
        <f t="shared" si="2"/>
        <v>0</v>
      </c>
      <c r="N13" s="28">
        <v>0</v>
      </c>
      <c r="O13" s="23">
        <v>0</v>
      </c>
      <c r="P13" s="24">
        <f t="shared" si="1"/>
        <v>0</v>
      </c>
      <c r="Q13" s="28">
        <v>0</v>
      </c>
      <c r="R13" s="23">
        <v>0</v>
      </c>
      <c r="S13" s="23">
        <v>0</v>
      </c>
      <c r="T13" s="23">
        <v>0</v>
      </c>
      <c r="U13" s="24">
        <f t="shared" si="3"/>
        <v>0</v>
      </c>
      <c r="V13" s="28">
        <v>0</v>
      </c>
      <c r="W13" s="23">
        <v>0</v>
      </c>
      <c r="X13" s="23">
        <v>0</v>
      </c>
      <c r="Y13" s="23">
        <v>0</v>
      </c>
      <c r="Z13" s="24">
        <f t="shared" si="4"/>
        <v>0</v>
      </c>
      <c r="AA13" s="28">
        <v>0</v>
      </c>
      <c r="AB13" s="23">
        <v>0</v>
      </c>
      <c r="AC13" s="24">
        <f t="shared" si="22"/>
        <v>0</v>
      </c>
      <c r="AD13" s="28">
        <v>0</v>
      </c>
      <c r="AE13" s="23">
        <v>0</v>
      </c>
      <c r="AF13" s="24">
        <f t="shared" si="23"/>
        <v>0</v>
      </c>
      <c r="AG13" s="28">
        <v>0</v>
      </c>
      <c r="AH13" s="23">
        <v>0</v>
      </c>
      <c r="AI13" s="24">
        <f t="shared" si="24"/>
        <v>0</v>
      </c>
      <c r="AJ13" s="28">
        <v>0</v>
      </c>
      <c r="AK13" s="23">
        <v>0</v>
      </c>
      <c r="AL13" s="23">
        <v>0</v>
      </c>
      <c r="AM13" s="23">
        <v>0</v>
      </c>
      <c r="AN13" s="24">
        <f t="shared" si="5"/>
        <v>0</v>
      </c>
      <c r="AO13" s="28">
        <v>0</v>
      </c>
      <c r="AP13" s="23">
        <v>0</v>
      </c>
      <c r="AQ13" s="24">
        <f t="shared" si="25"/>
        <v>0</v>
      </c>
      <c r="AR13" s="28">
        <v>0</v>
      </c>
      <c r="AS13" s="23">
        <v>0</v>
      </c>
      <c r="AT13" s="24">
        <f t="shared" si="26"/>
        <v>0</v>
      </c>
      <c r="AU13" s="28">
        <v>0</v>
      </c>
      <c r="AV13" s="23">
        <v>0</v>
      </c>
      <c r="AW13" s="23">
        <v>0</v>
      </c>
      <c r="AX13" s="23">
        <v>0</v>
      </c>
      <c r="AY13" s="24">
        <f t="shared" si="6"/>
        <v>0</v>
      </c>
      <c r="AZ13" s="28">
        <v>0</v>
      </c>
      <c r="BA13" s="23">
        <v>0</v>
      </c>
      <c r="BB13" s="24">
        <f t="shared" si="27"/>
        <v>0</v>
      </c>
      <c r="BC13" s="28">
        <v>0</v>
      </c>
      <c r="BD13" s="23">
        <v>0</v>
      </c>
      <c r="BE13" s="24">
        <f t="shared" si="28"/>
        <v>0</v>
      </c>
      <c r="BF13" s="28">
        <v>0</v>
      </c>
      <c r="BG13" s="23">
        <v>0</v>
      </c>
      <c r="BH13" s="24">
        <f t="shared" si="29"/>
        <v>0</v>
      </c>
      <c r="BI13" s="28">
        <v>0</v>
      </c>
      <c r="BJ13" s="23">
        <v>0</v>
      </c>
      <c r="BK13" s="23">
        <v>0</v>
      </c>
      <c r="BL13" s="23">
        <v>0</v>
      </c>
      <c r="BM13" s="24">
        <f t="shared" si="7"/>
        <v>0</v>
      </c>
      <c r="BN13" s="28">
        <v>0</v>
      </c>
      <c r="BO13" s="23">
        <v>0</v>
      </c>
      <c r="BP13" s="24">
        <f t="shared" si="30"/>
        <v>0</v>
      </c>
      <c r="BQ13" s="28">
        <v>0</v>
      </c>
      <c r="BR13" s="23">
        <v>0</v>
      </c>
      <c r="BS13" s="24">
        <f t="shared" si="31"/>
        <v>0</v>
      </c>
      <c r="BT13" s="28">
        <v>0</v>
      </c>
      <c r="BU13" s="23">
        <v>0</v>
      </c>
      <c r="BV13" s="24">
        <f t="shared" si="32"/>
        <v>0</v>
      </c>
      <c r="BW13" s="28">
        <v>0</v>
      </c>
      <c r="BX13" s="23">
        <v>0</v>
      </c>
      <c r="BY13" s="24">
        <f t="shared" si="33"/>
        <v>0</v>
      </c>
      <c r="BZ13" s="28">
        <v>0</v>
      </c>
      <c r="CA13" s="23">
        <v>0</v>
      </c>
      <c r="CB13" s="24">
        <f t="shared" si="34"/>
        <v>0</v>
      </c>
      <c r="CC13" s="28">
        <v>0</v>
      </c>
      <c r="CD13" s="23">
        <v>0</v>
      </c>
      <c r="CE13" s="24">
        <f t="shared" si="35"/>
        <v>0</v>
      </c>
    </row>
    <row r="14" spans="1:83" s="2" customFormat="1" x14ac:dyDescent="0.35">
      <c r="A14" s="12">
        <v>9</v>
      </c>
      <c r="B14" s="5">
        <v>10</v>
      </c>
      <c r="C14" s="12" t="s">
        <v>49</v>
      </c>
      <c r="D14" s="5" t="s">
        <v>34</v>
      </c>
      <c r="E14" s="2" cm="1">
        <f t="array" ref="E14">_xlfn.LET(_xlpm.scores, _xlfn.VSTACK(H14,M14,P14,U14,Z14,AC14,AF14,AI14,AN14,AQ14,AT14,AY14,BB14,BE14,BH14,BM14,BP14,BS14,BV14,BY14,CB14,CE14), IFERROR(AVERAGE(_xlfn._xlws.FILTER(_xlpm.scores, _xlpm.scores&gt;0)), 0))</f>
        <v>0</v>
      </c>
      <c r="F14" s="21">
        <v>0</v>
      </c>
      <c r="G14" s="23">
        <v>0</v>
      </c>
      <c r="H14" s="24">
        <f t="shared" si="0"/>
        <v>0</v>
      </c>
      <c r="I14" s="28">
        <v>0</v>
      </c>
      <c r="J14" s="23">
        <v>0</v>
      </c>
      <c r="K14" s="23">
        <v>0</v>
      </c>
      <c r="L14" s="23">
        <v>0</v>
      </c>
      <c r="M14" s="24">
        <f t="shared" si="2"/>
        <v>0</v>
      </c>
      <c r="N14" s="28">
        <v>0</v>
      </c>
      <c r="O14" s="23">
        <v>0</v>
      </c>
      <c r="P14" s="24">
        <f t="shared" si="1"/>
        <v>0</v>
      </c>
      <c r="Q14" s="28">
        <v>0</v>
      </c>
      <c r="R14" s="23">
        <v>0</v>
      </c>
      <c r="S14" s="23">
        <v>0</v>
      </c>
      <c r="T14" s="23">
        <v>0</v>
      </c>
      <c r="U14" s="24">
        <f t="shared" si="3"/>
        <v>0</v>
      </c>
      <c r="V14" s="28">
        <v>0</v>
      </c>
      <c r="W14" s="23">
        <v>0</v>
      </c>
      <c r="X14" s="23">
        <v>0</v>
      </c>
      <c r="Y14" s="23">
        <v>0</v>
      </c>
      <c r="Z14" s="24">
        <f t="shared" si="4"/>
        <v>0</v>
      </c>
      <c r="AA14" s="28">
        <v>0</v>
      </c>
      <c r="AB14" s="23">
        <v>0</v>
      </c>
      <c r="AC14" s="24">
        <f t="shared" si="22"/>
        <v>0</v>
      </c>
      <c r="AD14" s="28">
        <v>0</v>
      </c>
      <c r="AE14" s="23">
        <v>0</v>
      </c>
      <c r="AF14" s="24">
        <f t="shared" si="23"/>
        <v>0</v>
      </c>
      <c r="AG14" s="28">
        <v>0</v>
      </c>
      <c r="AH14" s="23">
        <v>0</v>
      </c>
      <c r="AI14" s="24">
        <f t="shared" si="24"/>
        <v>0</v>
      </c>
      <c r="AJ14" s="28">
        <v>0</v>
      </c>
      <c r="AK14" s="23">
        <v>0</v>
      </c>
      <c r="AL14" s="23">
        <v>0</v>
      </c>
      <c r="AM14" s="23">
        <v>0</v>
      </c>
      <c r="AN14" s="24">
        <f t="shared" si="5"/>
        <v>0</v>
      </c>
      <c r="AO14" s="28">
        <v>0</v>
      </c>
      <c r="AP14" s="23">
        <v>0</v>
      </c>
      <c r="AQ14" s="24">
        <f t="shared" si="25"/>
        <v>0</v>
      </c>
      <c r="AR14" s="28">
        <v>0</v>
      </c>
      <c r="AS14" s="23">
        <v>0</v>
      </c>
      <c r="AT14" s="24">
        <f t="shared" si="26"/>
        <v>0</v>
      </c>
      <c r="AU14" s="28">
        <v>0</v>
      </c>
      <c r="AV14" s="23">
        <v>0</v>
      </c>
      <c r="AW14" s="23">
        <v>0</v>
      </c>
      <c r="AX14" s="23">
        <v>0</v>
      </c>
      <c r="AY14" s="24">
        <f t="shared" si="6"/>
        <v>0</v>
      </c>
      <c r="AZ14" s="28">
        <v>0</v>
      </c>
      <c r="BA14" s="23">
        <v>0</v>
      </c>
      <c r="BB14" s="24">
        <f t="shared" si="27"/>
        <v>0</v>
      </c>
      <c r="BC14" s="28">
        <v>0</v>
      </c>
      <c r="BD14" s="23">
        <v>0</v>
      </c>
      <c r="BE14" s="24">
        <f t="shared" si="28"/>
        <v>0</v>
      </c>
      <c r="BF14" s="28">
        <v>0</v>
      </c>
      <c r="BG14" s="23">
        <v>0</v>
      </c>
      <c r="BH14" s="24">
        <f t="shared" si="29"/>
        <v>0</v>
      </c>
      <c r="BI14" s="28">
        <v>0</v>
      </c>
      <c r="BJ14" s="23">
        <v>0</v>
      </c>
      <c r="BK14" s="23">
        <v>0</v>
      </c>
      <c r="BL14" s="23">
        <v>0</v>
      </c>
      <c r="BM14" s="24">
        <f t="shared" si="7"/>
        <v>0</v>
      </c>
      <c r="BN14" s="28">
        <v>0</v>
      </c>
      <c r="BO14" s="23">
        <v>0</v>
      </c>
      <c r="BP14" s="24">
        <f t="shared" si="30"/>
        <v>0</v>
      </c>
      <c r="BQ14" s="28">
        <v>0</v>
      </c>
      <c r="BR14" s="23">
        <v>0</v>
      </c>
      <c r="BS14" s="24">
        <f t="shared" si="31"/>
        <v>0</v>
      </c>
      <c r="BT14" s="28">
        <v>0</v>
      </c>
      <c r="BU14" s="23">
        <v>0</v>
      </c>
      <c r="BV14" s="24">
        <f t="shared" si="32"/>
        <v>0</v>
      </c>
      <c r="BW14" s="28">
        <v>0</v>
      </c>
      <c r="BX14" s="23">
        <v>0</v>
      </c>
      <c r="BY14" s="24">
        <f t="shared" si="33"/>
        <v>0</v>
      </c>
      <c r="BZ14" s="28">
        <v>0</v>
      </c>
      <c r="CA14" s="23">
        <v>0</v>
      </c>
      <c r="CB14" s="24">
        <f t="shared" si="34"/>
        <v>0</v>
      </c>
      <c r="CC14" s="28">
        <v>0</v>
      </c>
      <c r="CD14" s="23">
        <v>0</v>
      </c>
      <c r="CE14" s="24">
        <f t="shared" si="35"/>
        <v>0</v>
      </c>
    </row>
    <row r="15" spans="1:83" s="2" customFormat="1" x14ac:dyDescent="0.35">
      <c r="A15" s="12">
        <v>10</v>
      </c>
      <c r="B15" s="5">
        <v>43</v>
      </c>
      <c r="C15" s="12" t="s">
        <v>50</v>
      </c>
      <c r="D15" s="5" t="s">
        <v>34</v>
      </c>
      <c r="E15" s="2" cm="1">
        <f t="array" ref="E15">_xlfn.LET(_xlpm.scores, _xlfn.VSTACK(H15,M15,P15,U15,Z15,AC15,AF15,AI15,AN15,AQ15,AT15,AY15,BB15,BE15,BH15,BM15,BP15,BS15,BV15,BY15,CB15,CE15), IFERROR(AVERAGE(_xlfn._xlws.FILTER(_xlpm.scores, _xlpm.scores&gt;0)), 0))</f>
        <v>0</v>
      </c>
      <c r="F15" s="21">
        <v>0</v>
      </c>
      <c r="G15" s="23">
        <v>0</v>
      </c>
      <c r="H15" s="24">
        <f t="shared" si="0"/>
        <v>0</v>
      </c>
      <c r="I15" s="28">
        <v>0</v>
      </c>
      <c r="J15" s="23">
        <v>0</v>
      </c>
      <c r="K15" s="23">
        <v>0</v>
      </c>
      <c r="L15" s="23">
        <v>0</v>
      </c>
      <c r="M15" s="24">
        <f t="shared" si="2"/>
        <v>0</v>
      </c>
      <c r="N15" s="28">
        <v>0</v>
      </c>
      <c r="O15" s="23">
        <v>0</v>
      </c>
      <c r="P15" s="24">
        <f t="shared" si="1"/>
        <v>0</v>
      </c>
      <c r="Q15" s="28">
        <v>0</v>
      </c>
      <c r="R15" s="23">
        <v>0</v>
      </c>
      <c r="S15" s="23">
        <v>0</v>
      </c>
      <c r="T15" s="23">
        <v>0</v>
      </c>
      <c r="U15" s="24">
        <f t="shared" si="3"/>
        <v>0</v>
      </c>
      <c r="V15" s="28">
        <v>0</v>
      </c>
      <c r="W15" s="23">
        <v>0</v>
      </c>
      <c r="X15" s="23">
        <v>0</v>
      </c>
      <c r="Y15" s="23">
        <v>0</v>
      </c>
      <c r="Z15" s="24">
        <f t="shared" si="4"/>
        <v>0</v>
      </c>
      <c r="AA15" s="28">
        <v>0</v>
      </c>
      <c r="AB15" s="23">
        <v>0</v>
      </c>
      <c r="AC15" s="24">
        <f t="shared" si="22"/>
        <v>0</v>
      </c>
      <c r="AD15" s="28">
        <v>0</v>
      </c>
      <c r="AE15" s="23">
        <v>0</v>
      </c>
      <c r="AF15" s="24">
        <f t="shared" si="23"/>
        <v>0</v>
      </c>
      <c r="AG15" s="28">
        <v>0</v>
      </c>
      <c r="AH15" s="23">
        <v>0</v>
      </c>
      <c r="AI15" s="24">
        <f t="shared" si="24"/>
        <v>0</v>
      </c>
      <c r="AJ15" s="28">
        <v>0</v>
      </c>
      <c r="AK15" s="23">
        <v>0</v>
      </c>
      <c r="AL15" s="23">
        <v>0</v>
      </c>
      <c r="AM15" s="23">
        <v>0</v>
      </c>
      <c r="AN15" s="24">
        <f t="shared" si="5"/>
        <v>0</v>
      </c>
      <c r="AO15" s="28">
        <v>0</v>
      </c>
      <c r="AP15" s="23">
        <v>0</v>
      </c>
      <c r="AQ15" s="24">
        <f t="shared" si="25"/>
        <v>0</v>
      </c>
      <c r="AR15" s="28">
        <v>0</v>
      </c>
      <c r="AS15" s="23">
        <v>0</v>
      </c>
      <c r="AT15" s="24">
        <f t="shared" si="26"/>
        <v>0</v>
      </c>
      <c r="AU15" s="28">
        <v>0</v>
      </c>
      <c r="AV15" s="23">
        <v>0</v>
      </c>
      <c r="AW15" s="23">
        <v>0</v>
      </c>
      <c r="AX15" s="23">
        <v>0</v>
      </c>
      <c r="AY15" s="24">
        <f t="shared" si="6"/>
        <v>0</v>
      </c>
      <c r="AZ15" s="28">
        <v>0</v>
      </c>
      <c r="BA15" s="23">
        <v>0</v>
      </c>
      <c r="BB15" s="24">
        <f t="shared" si="27"/>
        <v>0</v>
      </c>
      <c r="BC15" s="28">
        <v>0</v>
      </c>
      <c r="BD15" s="23">
        <v>0</v>
      </c>
      <c r="BE15" s="24">
        <f t="shared" si="28"/>
        <v>0</v>
      </c>
      <c r="BF15" s="28">
        <v>0</v>
      </c>
      <c r="BG15" s="23">
        <v>0</v>
      </c>
      <c r="BH15" s="24">
        <f t="shared" si="29"/>
        <v>0</v>
      </c>
      <c r="BI15" s="28">
        <v>0</v>
      </c>
      <c r="BJ15" s="23">
        <v>0</v>
      </c>
      <c r="BK15" s="23">
        <v>0</v>
      </c>
      <c r="BL15" s="23">
        <v>0</v>
      </c>
      <c r="BM15" s="24">
        <f t="shared" si="7"/>
        <v>0</v>
      </c>
      <c r="BN15" s="28">
        <v>0</v>
      </c>
      <c r="BO15" s="23">
        <v>0</v>
      </c>
      <c r="BP15" s="24">
        <f t="shared" si="30"/>
        <v>0</v>
      </c>
      <c r="BQ15" s="28">
        <v>0</v>
      </c>
      <c r="BR15" s="23">
        <v>0</v>
      </c>
      <c r="BS15" s="24">
        <f t="shared" si="31"/>
        <v>0</v>
      </c>
      <c r="BT15" s="28">
        <v>0</v>
      </c>
      <c r="BU15" s="23">
        <v>0</v>
      </c>
      <c r="BV15" s="24">
        <f t="shared" si="32"/>
        <v>0</v>
      </c>
      <c r="BW15" s="28">
        <v>0</v>
      </c>
      <c r="BX15" s="23">
        <v>0</v>
      </c>
      <c r="BY15" s="24">
        <f t="shared" si="33"/>
        <v>0</v>
      </c>
      <c r="BZ15" s="28">
        <v>0</v>
      </c>
      <c r="CA15" s="23">
        <v>0</v>
      </c>
      <c r="CB15" s="24">
        <f t="shared" si="34"/>
        <v>0</v>
      </c>
      <c r="CC15" s="28">
        <v>0</v>
      </c>
      <c r="CD15" s="23">
        <v>0</v>
      </c>
      <c r="CE15" s="24">
        <f t="shared" si="35"/>
        <v>0</v>
      </c>
    </row>
    <row r="16" spans="1:83" s="2" customFormat="1" x14ac:dyDescent="0.35">
      <c r="A16" s="12">
        <v>11</v>
      </c>
      <c r="B16" s="6">
        <v>30</v>
      </c>
      <c r="C16" s="12" t="s">
        <v>51</v>
      </c>
      <c r="D16" s="6" t="s">
        <v>35</v>
      </c>
      <c r="E16" s="2" cm="1">
        <f t="array" ref="E16">_xlfn.LET(_xlpm.scores, _xlfn.VSTACK(H16,M16,P16,U16,Z16,AC16,AF16,AI16,AN16,AQ16,AT16,AY16,BB16,BE16,BH16,BM16,BP16,BS16,BV16,BY16,CB16,CE16), IFERROR(AVERAGE(_xlfn._xlws.FILTER(_xlpm.scores, _xlpm.scores&gt;0)), 0))</f>
        <v>0</v>
      </c>
      <c r="F16" s="21">
        <v>0</v>
      </c>
      <c r="G16" s="23">
        <v>0</v>
      </c>
      <c r="H16" s="24">
        <f t="shared" si="0"/>
        <v>0</v>
      </c>
      <c r="I16" s="28">
        <v>0</v>
      </c>
      <c r="J16" s="23">
        <v>0</v>
      </c>
      <c r="K16" s="23">
        <v>0</v>
      </c>
      <c r="L16" s="23">
        <v>0</v>
      </c>
      <c r="M16" s="24">
        <f t="shared" si="2"/>
        <v>0</v>
      </c>
      <c r="N16" s="28">
        <v>0</v>
      </c>
      <c r="O16" s="23">
        <v>0</v>
      </c>
      <c r="P16" s="24">
        <f t="shared" si="1"/>
        <v>0</v>
      </c>
      <c r="Q16" s="28">
        <v>0</v>
      </c>
      <c r="R16" s="23">
        <v>0</v>
      </c>
      <c r="S16" s="23">
        <v>0</v>
      </c>
      <c r="T16" s="23">
        <v>0</v>
      </c>
      <c r="U16" s="24">
        <f t="shared" si="3"/>
        <v>0</v>
      </c>
      <c r="V16" s="28">
        <v>0</v>
      </c>
      <c r="W16" s="23">
        <v>0</v>
      </c>
      <c r="X16" s="23">
        <v>0</v>
      </c>
      <c r="Y16" s="23">
        <v>0</v>
      </c>
      <c r="Z16" s="24">
        <f t="shared" si="4"/>
        <v>0</v>
      </c>
      <c r="AA16" s="28">
        <v>0</v>
      </c>
      <c r="AB16" s="23">
        <v>0</v>
      </c>
      <c r="AC16" s="24">
        <f t="shared" si="22"/>
        <v>0</v>
      </c>
      <c r="AD16" s="28">
        <v>0</v>
      </c>
      <c r="AE16" s="23">
        <v>0</v>
      </c>
      <c r="AF16" s="24">
        <f t="shared" si="23"/>
        <v>0</v>
      </c>
      <c r="AG16" s="28">
        <v>0</v>
      </c>
      <c r="AH16" s="23">
        <v>0</v>
      </c>
      <c r="AI16" s="24">
        <f t="shared" si="24"/>
        <v>0</v>
      </c>
      <c r="AJ16" s="28">
        <v>0</v>
      </c>
      <c r="AK16" s="23">
        <v>0</v>
      </c>
      <c r="AL16" s="23">
        <v>0</v>
      </c>
      <c r="AM16" s="23">
        <v>0</v>
      </c>
      <c r="AN16" s="24">
        <f t="shared" si="5"/>
        <v>0</v>
      </c>
      <c r="AO16" s="28">
        <v>0</v>
      </c>
      <c r="AP16" s="23">
        <v>0</v>
      </c>
      <c r="AQ16" s="24">
        <f t="shared" si="25"/>
        <v>0</v>
      </c>
      <c r="AR16" s="28">
        <v>0</v>
      </c>
      <c r="AS16" s="23">
        <v>0</v>
      </c>
      <c r="AT16" s="24">
        <f t="shared" si="26"/>
        <v>0</v>
      </c>
      <c r="AU16" s="28">
        <v>0</v>
      </c>
      <c r="AV16" s="23">
        <v>0</v>
      </c>
      <c r="AW16" s="23">
        <v>0</v>
      </c>
      <c r="AX16" s="23">
        <v>0</v>
      </c>
      <c r="AY16" s="24">
        <f t="shared" si="6"/>
        <v>0</v>
      </c>
      <c r="AZ16" s="28">
        <v>0</v>
      </c>
      <c r="BA16" s="23">
        <v>0</v>
      </c>
      <c r="BB16" s="24">
        <f t="shared" si="27"/>
        <v>0</v>
      </c>
      <c r="BC16" s="28">
        <v>0</v>
      </c>
      <c r="BD16" s="23">
        <v>0</v>
      </c>
      <c r="BE16" s="24">
        <f t="shared" si="28"/>
        <v>0</v>
      </c>
      <c r="BF16" s="28">
        <v>0</v>
      </c>
      <c r="BG16" s="23">
        <v>0</v>
      </c>
      <c r="BH16" s="24">
        <f t="shared" si="29"/>
        <v>0</v>
      </c>
      <c r="BI16" s="28">
        <v>0</v>
      </c>
      <c r="BJ16" s="23">
        <v>0</v>
      </c>
      <c r="BK16" s="23">
        <v>0</v>
      </c>
      <c r="BL16" s="23">
        <v>0</v>
      </c>
      <c r="BM16" s="24">
        <f t="shared" si="7"/>
        <v>0</v>
      </c>
      <c r="BN16" s="28">
        <v>0</v>
      </c>
      <c r="BO16" s="23">
        <v>0</v>
      </c>
      <c r="BP16" s="24">
        <f t="shared" si="30"/>
        <v>0</v>
      </c>
      <c r="BQ16" s="28">
        <v>0</v>
      </c>
      <c r="BR16" s="23">
        <v>0</v>
      </c>
      <c r="BS16" s="24">
        <f t="shared" si="31"/>
        <v>0</v>
      </c>
      <c r="BT16" s="28">
        <v>0</v>
      </c>
      <c r="BU16" s="23">
        <v>0</v>
      </c>
      <c r="BV16" s="24">
        <f t="shared" si="32"/>
        <v>0</v>
      </c>
      <c r="BW16" s="28">
        <v>0</v>
      </c>
      <c r="BX16" s="23">
        <v>0</v>
      </c>
      <c r="BY16" s="24">
        <f t="shared" si="33"/>
        <v>0</v>
      </c>
      <c r="BZ16" s="28">
        <v>0</v>
      </c>
      <c r="CA16" s="23">
        <v>0</v>
      </c>
      <c r="CB16" s="24">
        <f t="shared" si="34"/>
        <v>0</v>
      </c>
      <c r="CC16" s="28">
        <v>0</v>
      </c>
      <c r="CD16" s="23">
        <v>0</v>
      </c>
      <c r="CE16" s="24">
        <f t="shared" si="35"/>
        <v>0</v>
      </c>
    </row>
    <row r="17" spans="1:83" s="2" customFormat="1" x14ac:dyDescent="0.35">
      <c r="A17" s="12">
        <v>12</v>
      </c>
      <c r="B17" s="6">
        <v>41</v>
      </c>
      <c r="C17" s="12" t="s">
        <v>52</v>
      </c>
      <c r="D17" s="6" t="s">
        <v>35</v>
      </c>
      <c r="E17" s="2" cm="1">
        <f t="array" ref="E17">_xlfn.LET(_xlpm.scores, _xlfn.VSTACK(H17,M17,P17,U17,Z17,AC17,AF17,AI17,AN17,AQ17,AT17,AY17,BB17,BE17,BH17,BM17,BP17,BS17,BV17,BY17,CB17,CE17), IFERROR(AVERAGE(_xlfn._xlws.FILTER(_xlpm.scores, _xlpm.scores&gt;0)), 0))</f>
        <v>0</v>
      </c>
      <c r="F17" s="21">
        <v>0</v>
      </c>
      <c r="G17" s="23">
        <v>0</v>
      </c>
      <c r="H17" s="24">
        <f t="shared" si="0"/>
        <v>0</v>
      </c>
      <c r="I17" s="28">
        <v>0</v>
      </c>
      <c r="J17" s="23">
        <v>0</v>
      </c>
      <c r="K17" s="23">
        <v>0</v>
      </c>
      <c r="L17" s="23">
        <v>0</v>
      </c>
      <c r="M17" s="24">
        <f t="shared" si="2"/>
        <v>0</v>
      </c>
      <c r="N17" s="28">
        <v>0</v>
      </c>
      <c r="O17" s="23">
        <v>0</v>
      </c>
      <c r="P17" s="24">
        <f t="shared" si="1"/>
        <v>0</v>
      </c>
      <c r="Q17" s="28">
        <v>0</v>
      </c>
      <c r="R17" s="23">
        <v>0</v>
      </c>
      <c r="S17" s="23">
        <v>0</v>
      </c>
      <c r="T17" s="23">
        <v>0</v>
      </c>
      <c r="U17" s="24">
        <f t="shared" si="3"/>
        <v>0</v>
      </c>
      <c r="V17" s="28">
        <v>0</v>
      </c>
      <c r="W17" s="23">
        <v>0</v>
      </c>
      <c r="X17" s="23">
        <v>0</v>
      </c>
      <c r="Y17" s="23">
        <v>0</v>
      </c>
      <c r="Z17" s="24">
        <f t="shared" si="4"/>
        <v>0</v>
      </c>
      <c r="AA17" s="28">
        <v>0</v>
      </c>
      <c r="AB17" s="23">
        <v>0</v>
      </c>
      <c r="AC17" s="24">
        <f t="shared" si="22"/>
        <v>0</v>
      </c>
      <c r="AD17" s="28">
        <v>0</v>
      </c>
      <c r="AE17" s="23">
        <v>0</v>
      </c>
      <c r="AF17" s="24">
        <f t="shared" si="23"/>
        <v>0</v>
      </c>
      <c r="AG17" s="28">
        <v>0</v>
      </c>
      <c r="AH17" s="23">
        <v>0</v>
      </c>
      <c r="AI17" s="24">
        <f t="shared" si="24"/>
        <v>0</v>
      </c>
      <c r="AJ17" s="28">
        <v>0</v>
      </c>
      <c r="AK17" s="23">
        <v>0</v>
      </c>
      <c r="AL17" s="23">
        <v>0</v>
      </c>
      <c r="AM17" s="23">
        <v>0</v>
      </c>
      <c r="AN17" s="24">
        <f t="shared" si="5"/>
        <v>0</v>
      </c>
      <c r="AO17" s="28">
        <v>0</v>
      </c>
      <c r="AP17" s="23">
        <v>0</v>
      </c>
      <c r="AQ17" s="24">
        <f t="shared" si="25"/>
        <v>0</v>
      </c>
      <c r="AR17" s="28">
        <v>0</v>
      </c>
      <c r="AS17" s="23">
        <v>0</v>
      </c>
      <c r="AT17" s="24">
        <f t="shared" si="26"/>
        <v>0</v>
      </c>
      <c r="AU17" s="28">
        <v>0</v>
      </c>
      <c r="AV17" s="23">
        <v>0</v>
      </c>
      <c r="AW17" s="23">
        <v>0</v>
      </c>
      <c r="AX17" s="23">
        <v>0</v>
      </c>
      <c r="AY17" s="24">
        <f t="shared" si="6"/>
        <v>0</v>
      </c>
      <c r="AZ17" s="28">
        <v>0</v>
      </c>
      <c r="BA17" s="23">
        <v>0</v>
      </c>
      <c r="BB17" s="24">
        <f t="shared" si="27"/>
        <v>0</v>
      </c>
      <c r="BC17" s="28">
        <v>0</v>
      </c>
      <c r="BD17" s="23">
        <v>0</v>
      </c>
      <c r="BE17" s="24">
        <f t="shared" si="28"/>
        <v>0</v>
      </c>
      <c r="BF17" s="28">
        <v>0</v>
      </c>
      <c r="BG17" s="23">
        <v>0</v>
      </c>
      <c r="BH17" s="24">
        <f t="shared" si="29"/>
        <v>0</v>
      </c>
      <c r="BI17" s="28">
        <v>0</v>
      </c>
      <c r="BJ17" s="23">
        <v>0</v>
      </c>
      <c r="BK17" s="23">
        <v>0</v>
      </c>
      <c r="BL17" s="23">
        <v>0</v>
      </c>
      <c r="BM17" s="24">
        <f t="shared" si="7"/>
        <v>0</v>
      </c>
      <c r="BN17" s="28">
        <v>0</v>
      </c>
      <c r="BO17" s="23">
        <v>0</v>
      </c>
      <c r="BP17" s="24">
        <f t="shared" si="30"/>
        <v>0</v>
      </c>
      <c r="BQ17" s="28">
        <v>0</v>
      </c>
      <c r="BR17" s="23">
        <v>0</v>
      </c>
      <c r="BS17" s="24">
        <f t="shared" si="31"/>
        <v>0</v>
      </c>
      <c r="BT17" s="28">
        <v>0</v>
      </c>
      <c r="BU17" s="23">
        <v>0</v>
      </c>
      <c r="BV17" s="24">
        <f t="shared" si="32"/>
        <v>0</v>
      </c>
      <c r="BW17" s="28">
        <v>0</v>
      </c>
      <c r="BX17" s="23">
        <v>0</v>
      </c>
      <c r="BY17" s="24">
        <f t="shared" si="33"/>
        <v>0</v>
      </c>
      <c r="BZ17" s="28">
        <v>0</v>
      </c>
      <c r="CA17" s="23">
        <v>0</v>
      </c>
      <c r="CB17" s="24">
        <f t="shared" si="34"/>
        <v>0</v>
      </c>
      <c r="CC17" s="28">
        <v>0</v>
      </c>
      <c r="CD17" s="23">
        <v>0</v>
      </c>
      <c r="CE17" s="24">
        <f t="shared" si="35"/>
        <v>0</v>
      </c>
    </row>
    <row r="18" spans="1:83" s="2" customFormat="1" x14ac:dyDescent="0.35">
      <c r="A18" s="12">
        <v>13</v>
      </c>
      <c r="B18" s="7">
        <v>31</v>
      </c>
      <c r="C18" s="12" t="s">
        <v>53</v>
      </c>
      <c r="D18" s="7" t="s">
        <v>36</v>
      </c>
      <c r="E18" s="2" cm="1">
        <f t="array" ref="E18">_xlfn.LET(_xlpm.scores, _xlfn.VSTACK(H18,M18,P18,U18,Z18,AC18,AF18,AI18,AN18,AQ18,AT18,AY18,BB18,BE18,BH18,BM18,BP18,BS18,BV18,BY18,CB18,CE18), IFERROR(AVERAGE(_xlfn._xlws.FILTER(_xlpm.scores, _xlpm.scores&gt;0)), 0))</f>
        <v>0</v>
      </c>
      <c r="F18" s="21">
        <v>0</v>
      </c>
      <c r="G18" s="23">
        <v>0</v>
      </c>
      <c r="H18" s="24">
        <f t="shared" si="0"/>
        <v>0</v>
      </c>
      <c r="I18" s="28">
        <v>0</v>
      </c>
      <c r="J18" s="23">
        <v>0</v>
      </c>
      <c r="K18" s="23">
        <v>0</v>
      </c>
      <c r="L18" s="23">
        <v>0</v>
      </c>
      <c r="M18" s="24">
        <f t="shared" si="2"/>
        <v>0</v>
      </c>
      <c r="N18" s="28">
        <v>0</v>
      </c>
      <c r="O18" s="23">
        <v>0</v>
      </c>
      <c r="P18" s="24">
        <f t="shared" si="1"/>
        <v>0</v>
      </c>
      <c r="Q18" s="28">
        <v>0</v>
      </c>
      <c r="R18" s="23">
        <v>0</v>
      </c>
      <c r="S18" s="23">
        <v>0</v>
      </c>
      <c r="T18" s="23">
        <v>0</v>
      </c>
      <c r="U18" s="24">
        <f t="shared" si="3"/>
        <v>0</v>
      </c>
      <c r="V18" s="28">
        <v>0</v>
      </c>
      <c r="W18" s="23">
        <v>0</v>
      </c>
      <c r="X18" s="23">
        <v>0</v>
      </c>
      <c r="Y18" s="23">
        <v>0</v>
      </c>
      <c r="Z18" s="24">
        <f t="shared" si="4"/>
        <v>0</v>
      </c>
      <c r="AA18" s="28">
        <v>0</v>
      </c>
      <c r="AB18" s="23">
        <v>0</v>
      </c>
      <c r="AC18" s="24">
        <f t="shared" si="8"/>
        <v>0</v>
      </c>
      <c r="AD18" s="28">
        <v>0</v>
      </c>
      <c r="AE18" s="23">
        <v>0</v>
      </c>
      <c r="AF18" s="24">
        <f t="shared" ref="AF18" si="36">AVERAGE(AD18:AE18)</f>
        <v>0</v>
      </c>
      <c r="AG18" s="28">
        <v>0</v>
      </c>
      <c r="AH18" s="23">
        <v>0</v>
      </c>
      <c r="AI18" s="24">
        <f t="shared" ref="AI18" si="37">AVERAGE(AG18:AH18)</f>
        <v>0</v>
      </c>
      <c r="AJ18" s="28">
        <v>0</v>
      </c>
      <c r="AK18" s="23">
        <v>0</v>
      </c>
      <c r="AL18" s="23">
        <v>0</v>
      </c>
      <c r="AM18" s="23">
        <v>0</v>
      </c>
      <c r="AN18" s="24">
        <f t="shared" si="5"/>
        <v>0</v>
      </c>
      <c r="AO18" s="28">
        <v>0</v>
      </c>
      <c r="AP18" s="23">
        <v>0</v>
      </c>
      <c r="AQ18" s="24">
        <f t="shared" ref="AQ18" si="38">AVERAGE(AO18:AP18)</f>
        <v>0</v>
      </c>
      <c r="AR18" s="28">
        <v>0</v>
      </c>
      <c r="AS18" s="23">
        <v>0</v>
      </c>
      <c r="AT18" s="24">
        <f t="shared" ref="AT18" si="39">AVERAGE(AR18:AS18)</f>
        <v>0</v>
      </c>
      <c r="AU18" s="28">
        <v>0</v>
      </c>
      <c r="AV18" s="23">
        <v>0</v>
      </c>
      <c r="AW18" s="23">
        <v>0</v>
      </c>
      <c r="AX18" s="23">
        <v>0</v>
      </c>
      <c r="AY18" s="24">
        <f t="shared" si="6"/>
        <v>0</v>
      </c>
      <c r="AZ18" s="28">
        <v>0</v>
      </c>
      <c r="BA18" s="23">
        <v>0</v>
      </c>
      <c r="BB18" s="24">
        <f t="shared" ref="BB18" si="40">AVERAGE(AZ18:BA18)</f>
        <v>0</v>
      </c>
      <c r="BC18" s="28">
        <v>0</v>
      </c>
      <c r="BD18" s="23">
        <v>0</v>
      </c>
      <c r="BE18" s="24">
        <f t="shared" ref="BE18" si="41">AVERAGE(BC18:BD18)</f>
        <v>0</v>
      </c>
      <c r="BF18" s="28">
        <v>0</v>
      </c>
      <c r="BG18" s="23">
        <v>0</v>
      </c>
      <c r="BH18" s="24">
        <f t="shared" ref="BH18" si="42">AVERAGE(BF18:BG18)</f>
        <v>0</v>
      </c>
      <c r="BI18" s="28">
        <v>0</v>
      </c>
      <c r="BJ18" s="23">
        <v>0</v>
      </c>
      <c r="BK18" s="23">
        <v>0</v>
      </c>
      <c r="BL18" s="23">
        <v>0</v>
      </c>
      <c r="BM18" s="24">
        <f t="shared" si="7"/>
        <v>0</v>
      </c>
      <c r="BN18" s="28">
        <v>0</v>
      </c>
      <c r="BO18" s="23">
        <v>0</v>
      </c>
      <c r="BP18" s="24">
        <f t="shared" ref="BP18" si="43">AVERAGE(BN18:BO18)</f>
        <v>0</v>
      </c>
      <c r="BQ18" s="28">
        <v>0</v>
      </c>
      <c r="BR18" s="23">
        <v>0</v>
      </c>
      <c r="BS18" s="24">
        <f t="shared" ref="BS18" si="44">AVERAGE(BQ18:BR18)</f>
        <v>0</v>
      </c>
      <c r="BT18" s="28">
        <v>0</v>
      </c>
      <c r="BU18" s="23">
        <v>0</v>
      </c>
      <c r="BV18" s="24">
        <f t="shared" ref="BV18" si="45">AVERAGE(BT18:BU18)</f>
        <v>0</v>
      </c>
      <c r="BW18" s="28">
        <v>0</v>
      </c>
      <c r="BX18" s="23">
        <v>0</v>
      </c>
      <c r="BY18" s="24">
        <f t="shared" ref="BY18" si="46">AVERAGE(BW18:BX18)</f>
        <v>0</v>
      </c>
      <c r="BZ18" s="28">
        <v>0</v>
      </c>
      <c r="CA18" s="23">
        <v>0</v>
      </c>
      <c r="CB18" s="24">
        <f t="shared" ref="CB18" si="47">AVERAGE(BZ18:CA18)</f>
        <v>0</v>
      </c>
      <c r="CC18" s="28">
        <v>0</v>
      </c>
      <c r="CD18" s="23">
        <v>0</v>
      </c>
      <c r="CE18" s="24">
        <f t="shared" ref="CE18" si="48">AVERAGE(CC18:CD18)</f>
        <v>0</v>
      </c>
    </row>
    <row r="19" spans="1:83" s="2" customFormat="1" x14ac:dyDescent="0.35">
      <c r="A19" s="12">
        <v>14</v>
      </c>
      <c r="B19" s="7">
        <v>87</v>
      </c>
      <c r="C19" s="12" t="s">
        <v>54</v>
      </c>
      <c r="D19" s="7" t="s">
        <v>36</v>
      </c>
      <c r="E19" s="2" cm="1">
        <f t="array" ref="E19">_xlfn.LET(_xlpm.scores, _xlfn.VSTACK(H19,M19,P19,U19,Z19,AC19,AF19,AI19,AN19,AQ19,AT19,AY19,BB19,BE19,BH19,BM19,BP19,BS19,BV19,BY19,CB19,CE19), IFERROR(AVERAGE(_xlfn._xlws.FILTER(_xlpm.scores, _xlpm.scores&gt;0)), 0))</f>
        <v>0</v>
      </c>
      <c r="F19" s="21">
        <v>0</v>
      </c>
      <c r="G19" s="23">
        <v>0</v>
      </c>
      <c r="H19" s="24">
        <f t="shared" si="0"/>
        <v>0</v>
      </c>
      <c r="I19" s="28">
        <v>0</v>
      </c>
      <c r="J19" s="23">
        <v>0</v>
      </c>
      <c r="K19" s="23">
        <v>0</v>
      </c>
      <c r="L19" s="23">
        <v>0</v>
      </c>
      <c r="M19" s="24">
        <f t="shared" si="2"/>
        <v>0</v>
      </c>
      <c r="N19" s="28">
        <v>0</v>
      </c>
      <c r="O19" s="23">
        <v>0</v>
      </c>
      <c r="P19" s="24">
        <f t="shared" si="1"/>
        <v>0</v>
      </c>
      <c r="Q19" s="28">
        <v>0</v>
      </c>
      <c r="R19" s="23">
        <v>0</v>
      </c>
      <c r="S19" s="23">
        <v>0</v>
      </c>
      <c r="T19" s="23">
        <v>0</v>
      </c>
      <c r="U19" s="24">
        <f t="shared" si="3"/>
        <v>0</v>
      </c>
      <c r="V19" s="28">
        <v>0</v>
      </c>
      <c r="W19" s="23">
        <v>0</v>
      </c>
      <c r="X19" s="23">
        <v>0</v>
      </c>
      <c r="Y19" s="23">
        <v>0</v>
      </c>
      <c r="Z19" s="24">
        <f t="shared" si="4"/>
        <v>0</v>
      </c>
      <c r="AA19" s="28">
        <v>0</v>
      </c>
      <c r="AB19" s="23">
        <v>0</v>
      </c>
      <c r="AC19" s="24">
        <f>AVERAGE(AA19:AB19)</f>
        <v>0</v>
      </c>
      <c r="AD19" s="28">
        <v>0</v>
      </c>
      <c r="AE19" s="23">
        <v>0</v>
      </c>
      <c r="AF19" s="24">
        <f>AVERAGE(AD19:AE19)</f>
        <v>0</v>
      </c>
      <c r="AG19" s="28">
        <v>0</v>
      </c>
      <c r="AH19" s="23">
        <v>0</v>
      </c>
      <c r="AI19" s="24">
        <f>AVERAGE(AG19:AH19)</f>
        <v>0</v>
      </c>
      <c r="AJ19" s="28">
        <v>0</v>
      </c>
      <c r="AK19" s="23">
        <v>0</v>
      </c>
      <c r="AL19" s="23">
        <v>0</v>
      </c>
      <c r="AM19" s="23">
        <v>0</v>
      </c>
      <c r="AN19" s="24">
        <f t="shared" si="5"/>
        <v>0</v>
      </c>
      <c r="AO19" s="28">
        <v>0</v>
      </c>
      <c r="AP19" s="23">
        <v>0</v>
      </c>
      <c r="AQ19" s="24">
        <f>AVERAGE(AO19:AP19)</f>
        <v>0</v>
      </c>
      <c r="AR19" s="28">
        <v>0</v>
      </c>
      <c r="AS19" s="23">
        <v>0</v>
      </c>
      <c r="AT19" s="24">
        <f>AVERAGE(AR19:AS19)</f>
        <v>0</v>
      </c>
      <c r="AU19" s="28">
        <v>0</v>
      </c>
      <c r="AV19" s="23">
        <v>0</v>
      </c>
      <c r="AW19" s="23">
        <v>0</v>
      </c>
      <c r="AX19" s="23">
        <v>0</v>
      </c>
      <c r="AY19" s="24">
        <f t="shared" si="6"/>
        <v>0</v>
      </c>
      <c r="AZ19" s="28">
        <v>0</v>
      </c>
      <c r="BA19" s="23">
        <v>0</v>
      </c>
      <c r="BB19" s="24">
        <f>AVERAGE(AZ19:BA19)</f>
        <v>0</v>
      </c>
      <c r="BC19" s="28">
        <v>0</v>
      </c>
      <c r="BD19" s="23">
        <v>0</v>
      </c>
      <c r="BE19" s="24">
        <f>AVERAGE(BC19:BD19)</f>
        <v>0</v>
      </c>
      <c r="BF19" s="28">
        <v>0</v>
      </c>
      <c r="BG19" s="23">
        <v>0</v>
      </c>
      <c r="BH19" s="24">
        <f>AVERAGE(BF19:BG19)</f>
        <v>0</v>
      </c>
      <c r="BI19" s="28">
        <v>0</v>
      </c>
      <c r="BJ19" s="23">
        <v>0</v>
      </c>
      <c r="BK19" s="23">
        <v>0</v>
      </c>
      <c r="BL19" s="23">
        <v>0</v>
      </c>
      <c r="BM19" s="24">
        <f t="shared" si="7"/>
        <v>0</v>
      </c>
      <c r="BN19" s="28">
        <v>0</v>
      </c>
      <c r="BO19" s="23">
        <v>0</v>
      </c>
      <c r="BP19" s="24">
        <f>AVERAGE(BN19:BO19)</f>
        <v>0</v>
      </c>
      <c r="BQ19" s="28">
        <v>0</v>
      </c>
      <c r="BR19" s="23">
        <v>0</v>
      </c>
      <c r="BS19" s="24">
        <f>AVERAGE(BQ19:BR19)</f>
        <v>0</v>
      </c>
      <c r="BT19" s="28">
        <v>0</v>
      </c>
      <c r="BU19" s="23">
        <v>0</v>
      </c>
      <c r="BV19" s="24">
        <f>AVERAGE(BT19:BU19)</f>
        <v>0</v>
      </c>
      <c r="BW19" s="28">
        <v>0</v>
      </c>
      <c r="BX19" s="23">
        <v>0</v>
      </c>
      <c r="BY19" s="24">
        <f>AVERAGE(BW19:BX19)</f>
        <v>0</v>
      </c>
      <c r="BZ19" s="28">
        <v>0</v>
      </c>
      <c r="CA19" s="23">
        <v>0</v>
      </c>
      <c r="CB19" s="24">
        <f>AVERAGE(BZ19:CA19)</f>
        <v>0</v>
      </c>
      <c r="CC19" s="28">
        <v>0</v>
      </c>
      <c r="CD19" s="23">
        <v>0</v>
      </c>
      <c r="CE19" s="24">
        <f>AVERAGE(CC19:CD19)</f>
        <v>0</v>
      </c>
    </row>
    <row r="20" spans="1:83" s="2" customFormat="1" x14ac:dyDescent="0.35">
      <c r="A20" s="12">
        <v>15</v>
      </c>
      <c r="B20" s="8">
        <v>55</v>
      </c>
      <c r="C20" s="12" t="s">
        <v>55</v>
      </c>
      <c r="D20" s="8" t="s">
        <v>37</v>
      </c>
      <c r="E20" s="2" cm="1">
        <f t="array" ref="E20">_xlfn.LET(_xlpm.scores, _xlfn.VSTACK(H20,M20,P20,U20,Z20,AC20,AF20,AI20,AN20,AQ20,AT20,AY20,BB20,BE20,BH20,BM20,BP20,BS20,BV20,BY20,CB20,CE20), IFERROR(AVERAGE(_xlfn._xlws.FILTER(_xlpm.scores, _xlpm.scores&gt;0)), 0))</f>
        <v>0</v>
      </c>
      <c r="F20" s="21">
        <v>0</v>
      </c>
      <c r="G20" s="23">
        <v>0</v>
      </c>
      <c r="H20" s="24">
        <f t="shared" si="0"/>
        <v>0</v>
      </c>
      <c r="I20" s="28">
        <v>0</v>
      </c>
      <c r="J20" s="23">
        <v>0</v>
      </c>
      <c r="K20" s="23">
        <v>0</v>
      </c>
      <c r="L20" s="23">
        <v>0</v>
      </c>
      <c r="M20" s="24">
        <f t="shared" si="2"/>
        <v>0</v>
      </c>
      <c r="N20" s="28">
        <v>0</v>
      </c>
      <c r="O20" s="23">
        <v>0</v>
      </c>
      <c r="P20" s="24">
        <f t="shared" si="1"/>
        <v>0</v>
      </c>
      <c r="Q20" s="28">
        <v>0</v>
      </c>
      <c r="R20" s="23">
        <v>0</v>
      </c>
      <c r="S20" s="23">
        <v>0</v>
      </c>
      <c r="T20" s="23">
        <v>0</v>
      </c>
      <c r="U20" s="24">
        <f t="shared" si="3"/>
        <v>0</v>
      </c>
      <c r="V20" s="28">
        <v>0</v>
      </c>
      <c r="W20" s="23">
        <v>0</v>
      </c>
      <c r="X20" s="23">
        <v>0</v>
      </c>
      <c r="Y20" s="23">
        <v>0</v>
      </c>
      <c r="Z20" s="24">
        <f t="shared" si="4"/>
        <v>0</v>
      </c>
      <c r="AA20" s="28">
        <v>0</v>
      </c>
      <c r="AB20" s="23">
        <v>0</v>
      </c>
      <c r="AC20" s="24">
        <f t="shared" si="8"/>
        <v>0</v>
      </c>
      <c r="AD20" s="28">
        <v>0</v>
      </c>
      <c r="AE20" s="23">
        <v>0</v>
      </c>
      <c r="AF20" s="24">
        <f t="shared" ref="AF20:AF21" si="49">AVERAGE(AD20:AE20)</f>
        <v>0</v>
      </c>
      <c r="AG20" s="28">
        <v>0</v>
      </c>
      <c r="AH20" s="23">
        <v>0</v>
      </c>
      <c r="AI20" s="24">
        <f t="shared" ref="AI20:AI21" si="50">AVERAGE(AG20:AH20)</f>
        <v>0</v>
      </c>
      <c r="AJ20" s="28">
        <v>0</v>
      </c>
      <c r="AK20" s="23">
        <v>0</v>
      </c>
      <c r="AL20" s="23">
        <v>0</v>
      </c>
      <c r="AM20" s="23">
        <v>0</v>
      </c>
      <c r="AN20" s="24">
        <f t="shared" si="5"/>
        <v>0</v>
      </c>
      <c r="AO20" s="28">
        <v>0</v>
      </c>
      <c r="AP20" s="23">
        <v>0</v>
      </c>
      <c r="AQ20" s="24">
        <f t="shared" ref="AQ20:AQ21" si="51">AVERAGE(AO20:AP20)</f>
        <v>0</v>
      </c>
      <c r="AR20" s="28">
        <v>0</v>
      </c>
      <c r="AS20" s="23">
        <v>0</v>
      </c>
      <c r="AT20" s="24">
        <f t="shared" ref="AT20:AT21" si="52">AVERAGE(AR20:AS20)</f>
        <v>0</v>
      </c>
      <c r="AU20" s="28">
        <v>0</v>
      </c>
      <c r="AV20" s="23">
        <v>0</v>
      </c>
      <c r="AW20" s="23">
        <v>0</v>
      </c>
      <c r="AX20" s="23">
        <v>0</v>
      </c>
      <c r="AY20" s="24">
        <f t="shared" si="6"/>
        <v>0</v>
      </c>
      <c r="AZ20" s="28">
        <v>0</v>
      </c>
      <c r="BA20" s="23">
        <v>0</v>
      </c>
      <c r="BB20" s="24">
        <f t="shared" ref="BB20:BB21" si="53">AVERAGE(AZ20:BA20)</f>
        <v>0</v>
      </c>
      <c r="BC20" s="28">
        <v>0</v>
      </c>
      <c r="BD20" s="23">
        <v>0</v>
      </c>
      <c r="BE20" s="24">
        <f t="shared" ref="BE20:BE21" si="54">AVERAGE(BC20:BD20)</f>
        <v>0</v>
      </c>
      <c r="BF20" s="28">
        <v>0</v>
      </c>
      <c r="BG20" s="23">
        <v>0</v>
      </c>
      <c r="BH20" s="24">
        <f t="shared" ref="BH20:BH21" si="55">AVERAGE(BF20:BG20)</f>
        <v>0</v>
      </c>
      <c r="BI20" s="28">
        <v>0</v>
      </c>
      <c r="BJ20" s="23">
        <v>0</v>
      </c>
      <c r="BK20" s="23">
        <v>0</v>
      </c>
      <c r="BL20" s="23">
        <v>0</v>
      </c>
      <c r="BM20" s="24">
        <f t="shared" si="7"/>
        <v>0</v>
      </c>
      <c r="BN20" s="28">
        <v>0</v>
      </c>
      <c r="BO20" s="23">
        <v>0</v>
      </c>
      <c r="BP20" s="24">
        <f t="shared" ref="BP20:BP21" si="56">AVERAGE(BN20:BO20)</f>
        <v>0</v>
      </c>
      <c r="BQ20" s="28">
        <v>0</v>
      </c>
      <c r="BR20" s="23">
        <v>0</v>
      </c>
      <c r="BS20" s="24">
        <f t="shared" ref="BS20:BS21" si="57">AVERAGE(BQ20:BR20)</f>
        <v>0</v>
      </c>
      <c r="BT20" s="28">
        <v>0</v>
      </c>
      <c r="BU20" s="23">
        <v>0</v>
      </c>
      <c r="BV20" s="24">
        <f t="shared" ref="BV20:BV21" si="58">AVERAGE(BT20:BU20)</f>
        <v>0</v>
      </c>
      <c r="BW20" s="28">
        <v>0</v>
      </c>
      <c r="BX20" s="23">
        <v>0</v>
      </c>
      <c r="BY20" s="24">
        <f t="shared" ref="BY20:BY21" si="59">AVERAGE(BW20:BX20)</f>
        <v>0</v>
      </c>
      <c r="BZ20" s="28">
        <v>0</v>
      </c>
      <c r="CA20" s="23">
        <v>0</v>
      </c>
      <c r="CB20" s="24">
        <f t="shared" ref="CB20:CB21" si="60">AVERAGE(BZ20:CA20)</f>
        <v>0</v>
      </c>
      <c r="CC20" s="28">
        <v>0</v>
      </c>
      <c r="CD20" s="23">
        <v>0</v>
      </c>
      <c r="CE20" s="24">
        <f t="shared" ref="CE20:CE21" si="61">AVERAGE(CC20:CD20)</f>
        <v>0</v>
      </c>
    </row>
    <row r="21" spans="1:83" s="2" customFormat="1" x14ac:dyDescent="0.35">
      <c r="A21" s="12">
        <v>16</v>
      </c>
      <c r="B21" s="8">
        <v>23</v>
      </c>
      <c r="C21" s="12" t="s">
        <v>56</v>
      </c>
      <c r="D21" s="8" t="s">
        <v>37</v>
      </c>
      <c r="E21" s="2" cm="1">
        <f t="array" ref="E21">_xlfn.LET(_xlpm.scores, _xlfn.VSTACK(H21,M21,P21,U21,Z21,AC21,AF21,AI21,AN21,AQ21,AT21,AY21,BB21,BE21,BH21,BM21,BP21,BS21,BV21,BY21,CB21,CE21), IFERROR(AVERAGE(_xlfn._xlws.FILTER(_xlpm.scores, _xlpm.scores&gt;0)), 0))</f>
        <v>0</v>
      </c>
      <c r="F21" s="21">
        <v>0</v>
      </c>
      <c r="G21" s="23">
        <v>0</v>
      </c>
      <c r="H21" s="24">
        <f t="shared" si="0"/>
        <v>0</v>
      </c>
      <c r="I21" s="28">
        <v>0</v>
      </c>
      <c r="J21" s="23">
        <v>0</v>
      </c>
      <c r="K21" s="23">
        <v>0</v>
      </c>
      <c r="L21" s="23">
        <v>0</v>
      </c>
      <c r="M21" s="24">
        <f t="shared" si="2"/>
        <v>0</v>
      </c>
      <c r="N21" s="28">
        <v>0</v>
      </c>
      <c r="O21" s="23">
        <v>0</v>
      </c>
      <c r="P21" s="24">
        <f t="shared" si="1"/>
        <v>0</v>
      </c>
      <c r="Q21" s="28">
        <v>0</v>
      </c>
      <c r="R21" s="23">
        <v>0</v>
      </c>
      <c r="S21" s="23">
        <v>0</v>
      </c>
      <c r="T21" s="23">
        <v>0</v>
      </c>
      <c r="U21" s="24">
        <f t="shared" si="3"/>
        <v>0</v>
      </c>
      <c r="V21" s="28">
        <v>0</v>
      </c>
      <c r="W21" s="23">
        <v>0</v>
      </c>
      <c r="X21" s="23">
        <v>0</v>
      </c>
      <c r="Y21" s="23">
        <v>0</v>
      </c>
      <c r="Z21" s="24">
        <f t="shared" si="4"/>
        <v>0</v>
      </c>
      <c r="AA21" s="28">
        <v>0</v>
      </c>
      <c r="AB21" s="23">
        <v>0</v>
      </c>
      <c r="AC21" s="24">
        <f t="shared" si="8"/>
        <v>0</v>
      </c>
      <c r="AD21" s="28">
        <v>0</v>
      </c>
      <c r="AE21" s="23">
        <v>0</v>
      </c>
      <c r="AF21" s="24">
        <f t="shared" si="49"/>
        <v>0</v>
      </c>
      <c r="AG21" s="28">
        <v>0</v>
      </c>
      <c r="AH21" s="23">
        <v>0</v>
      </c>
      <c r="AI21" s="24">
        <f t="shared" si="50"/>
        <v>0</v>
      </c>
      <c r="AJ21" s="28">
        <v>0</v>
      </c>
      <c r="AK21" s="23">
        <v>0</v>
      </c>
      <c r="AL21" s="23">
        <v>0</v>
      </c>
      <c r="AM21" s="23">
        <v>0</v>
      </c>
      <c r="AN21" s="24">
        <f t="shared" si="5"/>
        <v>0</v>
      </c>
      <c r="AO21" s="28">
        <v>0</v>
      </c>
      <c r="AP21" s="23">
        <v>0</v>
      </c>
      <c r="AQ21" s="24">
        <f t="shared" si="51"/>
        <v>0</v>
      </c>
      <c r="AR21" s="28">
        <v>0</v>
      </c>
      <c r="AS21" s="23">
        <v>0</v>
      </c>
      <c r="AT21" s="24">
        <f t="shared" si="52"/>
        <v>0</v>
      </c>
      <c r="AU21" s="28">
        <v>0</v>
      </c>
      <c r="AV21" s="23">
        <v>0</v>
      </c>
      <c r="AW21" s="23">
        <v>0</v>
      </c>
      <c r="AX21" s="23">
        <v>0</v>
      </c>
      <c r="AY21" s="24">
        <f t="shared" si="6"/>
        <v>0</v>
      </c>
      <c r="AZ21" s="28">
        <v>0</v>
      </c>
      <c r="BA21" s="23">
        <v>0</v>
      </c>
      <c r="BB21" s="24">
        <f t="shared" si="53"/>
        <v>0</v>
      </c>
      <c r="BC21" s="28">
        <v>0</v>
      </c>
      <c r="BD21" s="23">
        <v>0</v>
      </c>
      <c r="BE21" s="24">
        <f t="shared" si="54"/>
        <v>0</v>
      </c>
      <c r="BF21" s="28">
        <v>0</v>
      </c>
      <c r="BG21" s="23">
        <v>0</v>
      </c>
      <c r="BH21" s="24">
        <f t="shared" si="55"/>
        <v>0</v>
      </c>
      <c r="BI21" s="28">
        <v>0</v>
      </c>
      <c r="BJ21" s="23">
        <v>0</v>
      </c>
      <c r="BK21" s="23">
        <v>0</v>
      </c>
      <c r="BL21" s="23">
        <v>0</v>
      </c>
      <c r="BM21" s="24">
        <f t="shared" si="7"/>
        <v>0</v>
      </c>
      <c r="BN21" s="28">
        <v>0</v>
      </c>
      <c r="BO21" s="23">
        <v>0</v>
      </c>
      <c r="BP21" s="24">
        <f t="shared" si="56"/>
        <v>0</v>
      </c>
      <c r="BQ21" s="28">
        <v>0</v>
      </c>
      <c r="BR21" s="23">
        <v>0</v>
      </c>
      <c r="BS21" s="24">
        <f t="shared" si="57"/>
        <v>0</v>
      </c>
      <c r="BT21" s="28">
        <v>0</v>
      </c>
      <c r="BU21" s="23">
        <v>0</v>
      </c>
      <c r="BV21" s="24">
        <f t="shared" si="58"/>
        <v>0</v>
      </c>
      <c r="BW21" s="28">
        <v>0</v>
      </c>
      <c r="BX21" s="23">
        <v>0</v>
      </c>
      <c r="BY21" s="24">
        <f t="shared" si="59"/>
        <v>0</v>
      </c>
      <c r="BZ21" s="28">
        <v>0</v>
      </c>
      <c r="CA21" s="23">
        <v>0</v>
      </c>
      <c r="CB21" s="24">
        <f t="shared" si="60"/>
        <v>0</v>
      </c>
      <c r="CC21" s="28">
        <v>0</v>
      </c>
      <c r="CD21" s="23">
        <v>0</v>
      </c>
      <c r="CE21" s="24">
        <f t="shared" si="61"/>
        <v>0</v>
      </c>
    </row>
    <row r="22" spans="1:83" s="2" customFormat="1" x14ac:dyDescent="0.35">
      <c r="A22" s="12">
        <v>17</v>
      </c>
      <c r="B22" s="9">
        <v>27</v>
      </c>
      <c r="C22" s="12" t="s">
        <v>57</v>
      </c>
      <c r="D22" s="9" t="s">
        <v>38</v>
      </c>
      <c r="E22" s="2" cm="1">
        <f t="array" ref="E22">_xlfn.LET(_xlpm.scores, _xlfn.VSTACK(H22,M22,P22,U22,Z22,AC22,AF22,AI22,AN22,AQ22,AT22,AY22,BB22,BE22,BH22,BM22,BP22,BS22,BV22,BY22,CB22,CE22), IFERROR(AVERAGE(_xlfn._xlws.FILTER(_xlpm.scores, _xlpm.scores&gt;0)), 0))</f>
        <v>0</v>
      </c>
      <c r="F22" s="21">
        <v>0</v>
      </c>
      <c r="G22" s="23">
        <v>0</v>
      </c>
      <c r="H22" s="24">
        <v>0</v>
      </c>
      <c r="I22" s="28">
        <v>0</v>
      </c>
      <c r="J22" s="23">
        <v>0</v>
      </c>
      <c r="K22" s="23">
        <v>0</v>
      </c>
      <c r="L22" s="23">
        <v>0</v>
      </c>
      <c r="M22" s="24">
        <f t="shared" si="2"/>
        <v>0</v>
      </c>
      <c r="N22" s="28">
        <v>0</v>
      </c>
      <c r="O22" s="23">
        <v>0</v>
      </c>
      <c r="P22" s="24">
        <f t="shared" si="1"/>
        <v>0</v>
      </c>
      <c r="Q22" s="28">
        <v>0</v>
      </c>
      <c r="R22" s="23">
        <v>0</v>
      </c>
      <c r="S22" s="23">
        <v>0</v>
      </c>
      <c r="T22" s="23">
        <v>0</v>
      </c>
      <c r="U22" s="24">
        <f t="shared" si="3"/>
        <v>0</v>
      </c>
      <c r="V22" s="28">
        <v>0</v>
      </c>
      <c r="W22" s="23">
        <v>0</v>
      </c>
      <c r="X22" s="23">
        <v>0</v>
      </c>
      <c r="Y22" s="23">
        <v>0</v>
      </c>
      <c r="Z22" s="24">
        <f t="shared" si="4"/>
        <v>0</v>
      </c>
      <c r="AA22" s="28">
        <v>0</v>
      </c>
      <c r="AB22" s="23">
        <v>0</v>
      </c>
      <c r="AC22" s="24">
        <f>AVERAGE(AA22:AB22)</f>
        <v>0</v>
      </c>
      <c r="AD22" s="28">
        <v>0</v>
      </c>
      <c r="AE22" s="23">
        <v>0</v>
      </c>
      <c r="AF22" s="24">
        <f>AVERAGE(AD22:AE22)</f>
        <v>0</v>
      </c>
      <c r="AG22" s="28">
        <v>0</v>
      </c>
      <c r="AH22" s="23">
        <v>0</v>
      </c>
      <c r="AI22" s="24">
        <f>AVERAGE(AG22:AH22)</f>
        <v>0</v>
      </c>
      <c r="AJ22" s="28">
        <v>0</v>
      </c>
      <c r="AK22" s="23">
        <v>0</v>
      </c>
      <c r="AL22" s="23">
        <v>0</v>
      </c>
      <c r="AM22" s="23">
        <v>0</v>
      </c>
      <c r="AN22" s="24">
        <f t="shared" si="5"/>
        <v>0</v>
      </c>
      <c r="AO22" s="28">
        <v>0</v>
      </c>
      <c r="AP22" s="23">
        <v>0</v>
      </c>
      <c r="AQ22" s="24">
        <f>AVERAGE(AO22:AP22)</f>
        <v>0</v>
      </c>
      <c r="AR22" s="28">
        <v>0</v>
      </c>
      <c r="AS22" s="23">
        <v>0</v>
      </c>
      <c r="AT22" s="24">
        <f>AVERAGE(AR22:AS22)</f>
        <v>0</v>
      </c>
      <c r="AU22" s="28">
        <v>0</v>
      </c>
      <c r="AV22" s="23">
        <v>0</v>
      </c>
      <c r="AW22" s="23">
        <v>0</v>
      </c>
      <c r="AX22" s="23">
        <v>0</v>
      </c>
      <c r="AY22" s="24">
        <f t="shared" si="6"/>
        <v>0</v>
      </c>
      <c r="AZ22" s="28">
        <v>0</v>
      </c>
      <c r="BA22" s="23">
        <v>0</v>
      </c>
      <c r="BB22" s="24">
        <f>AVERAGE(AZ22:BA22)</f>
        <v>0</v>
      </c>
      <c r="BC22" s="28">
        <v>0</v>
      </c>
      <c r="BD22" s="23">
        <v>0</v>
      </c>
      <c r="BE22" s="24">
        <f>AVERAGE(BC22:BD22)</f>
        <v>0</v>
      </c>
      <c r="BF22" s="28">
        <v>0</v>
      </c>
      <c r="BG22" s="23">
        <v>0</v>
      </c>
      <c r="BH22" s="24">
        <f>AVERAGE(BF22:BG22)</f>
        <v>0</v>
      </c>
      <c r="BI22" s="28">
        <v>0</v>
      </c>
      <c r="BJ22" s="23">
        <v>0</v>
      </c>
      <c r="BK22" s="23">
        <v>0</v>
      </c>
      <c r="BL22" s="23">
        <v>0</v>
      </c>
      <c r="BM22" s="24">
        <f t="shared" si="7"/>
        <v>0</v>
      </c>
      <c r="BN22" s="28">
        <v>0</v>
      </c>
      <c r="BO22" s="23">
        <v>0</v>
      </c>
      <c r="BP22" s="24">
        <f>AVERAGE(BN22:BO22)</f>
        <v>0</v>
      </c>
      <c r="BQ22" s="28">
        <v>0</v>
      </c>
      <c r="BR22" s="23">
        <v>0</v>
      </c>
      <c r="BS22" s="24">
        <f>AVERAGE(BQ22:BR22)</f>
        <v>0</v>
      </c>
      <c r="BT22" s="28">
        <v>0</v>
      </c>
      <c r="BU22" s="23">
        <v>0</v>
      </c>
      <c r="BV22" s="24">
        <f>AVERAGE(BT22:BU22)</f>
        <v>0</v>
      </c>
      <c r="BW22" s="28">
        <v>0</v>
      </c>
      <c r="BX22" s="23">
        <v>0</v>
      </c>
      <c r="BY22" s="24">
        <f>AVERAGE(BW22:BX22)</f>
        <v>0</v>
      </c>
      <c r="BZ22" s="28">
        <v>0</v>
      </c>
      <c r="CA22" s="23">
        <v>0</v>
      </c>
      <c r="CB22" s="24">
        <f>AVERAGE(BZ22:CA22)</f>
        <v>0</v>
      </c>
      <c r="CC22" s="28">
        <v>0</v>
      </c>
      <c r="CD22" s="23">
        <v>0</v>
      </c>
      <c r="CE22" s="24">
        <f>AVERAGE(CC22:CD22)</f>
        <v>0</v>
      </c>
    </row>
    <row r="23" spans="1:83" s="2" customFormat="1" x14ac:dyDescent="0.35">
      <c r="A23" s="12">
        <v>18</v>
      </c>
      <c r="B23" s="9">
        <v>5</v>
      </c>
      <c r="C23" s="12" t="s">
        <v>58</v>
      </c>
      <c r="D23" s="9" t="s">
        <v>38</v>
      </c>
      <c r="E23" s="2" cm="1">
        <f t="array" ref="E23">_xlfn.LET(_xlpm.scores, _xlfn.VSTACK(H23,M23,P23,U23,Z23,AC23,AF23,AI23,AN23,AQ23,AT23,AY23,BB23,BE23,BH23,BM23,BP23,BS23,BV23,BY23,CB23,CE23), IFERROR(AVERAGE(_xlfn._xlws.FILTER(_xlpm.scores, _xlpm.scores&gt;0)), 0))</f>
        <v>0</v>
      </c>
      <c r="F23" s="21">
        <v>0</v>
      </c>
      <c r="G23" s="23">
        <v>0</v>
      </c>
      <c r="H23" s="24">
        <f>AVERAGE(F23:G23)</f>
        <v>0</v>
      </c>
      <c r="I23" s="28">
        <v>0</v>
      </c>
      <c r="J23" s="23">
        <v>0</v>
      </c>
      <c r="K23" s="23">
        <v>0</v>
      </c>
      <c r="L23" s="23">
        <v>0</v>
      </c>
      <c r="M23" s="24">
        <f t="shared" si="2"/>
        <v>0</v>
      </c>
      <c r="N23" s="28">
        <v>0</v>
      </c>
      <c r="O23" s="23">
        <v>0</v>
      </c>
      <c r="P23" s="24">
        <f t="shared" si="1"/>
        <v>0</v>
      </c>
      <c r="Q23" s="28">
        <v>0</v>
      </c>
      <c r="R23" s="23">
        <v>0</v>
      </c>
      <c r="S23" s="23">
        <v>0</v>
      </c>
      <c r="T23" s="23">
        <v>0</v>
      </c>
      <c r="U23" s="24">
        <f t="shared" si="3"/>
        <v>0</v>
      </c>
      <c r="V23" s="28">
        <v>0</v>
      </c>
      <c r="W23" s="23">
        <v>0</v>
      </c>
      <c r="X23" s="23">
        <v>0</v>
      </c>
      <c r="Y23" s="23">
        <v>0</v>
      </c>
      <c r="Z23" s="24">
        <f t="shared" si="4"/>
        <v>0</v>
      </c>
      <c r="AA23" s="28">
        <v>0</v>
      </c>
      <c r="AB23" s="23">
        <v>0</v>
      </c>
      <c r="AC23" s="24">
        <f t="shared" si="8"/>
        <v>0</v>
      </c>
      <c r="AD23" s="28">
        <v>0</v>
      </c>
      <c r="AE23" s="23">
        <v>0</v>
      </c>
      <c r="AF23" s="24">
        <f t="shared" ref="AF23:AF26" si="62">AVERAGE(AD23:AE23)</f>
        <v>0</v>
      </c>
      <c r="AG23" s="28">
        <v>0</v>
      </c>
      <c r="AH23" s="23">
        <v>0</v>
      </c>
      <c r="AI23" s="24">
        <f t="shared" ref="AI23:AI26" si="63">AVERAGE(AG23:AH23)</f>
        <v>0</v>
      </c>
      <c r="AJ23" s="28">
        <v>0</v>
      </c>
      <c r="AK23" s="23">
        <v>0</v>
      </c>
      <c r="AL23" s="23">
        <v>0</v>
      </c>
      <c r="AM23" s="23">
        <v>0</v>
      </c>
      <c r="AN23" s="24">
        <f t="shared" si="5"/>
        <v>0</v>
      </c>
      <c r="AO23" s="28">
        <v>0</v>
      </c>
      <c r="AP23" s="23">
        <v>0</v>
      </c>
      <c r="AQ23" s="24">
        <f t="shared" ref="AQ23:AQ26" si="64">AVERAGE(AO23:AP23)</f>
        <v>0</v>
      </c>
      <c r="AR23" s="28">
        <v>0</v>
      </c>
      <c r="AS23" s="23">
        <v>0</v>
      </c>
      <c r="AT23" s="24">
        <f t="shared" ref="AT23:AT26" si="65">AVERAGE(AR23:AS23)</f>
        <v>0</v>
      </c>
      <c r="AU23" s="28">
        <v>0</v>
      </c>
      <c r="AV23" s="23">
        <v>0</v>
      </c>
      <c r="AW23" s="23">
        <v>0</v>
      </c>
      <c r="AX23" s="23">
        <v>0</v>
      </c>
      <c r="AY23" s="24">
        <f t="shared" si="6"/>
        <v>0</v>
      </c>
      <c r="AZ23" s="28">
        <v>0</v>
      </c>
      <c r="BA23" s="23">
        <v>0</v>
      </c>
      <c r="BB23" s="24">
        <f t="shared" ref="BB23:BB26" si="66">AVERAGE(AZ23:BA23)</f>
        <v>0</v>
      </c>
      <c r="BC23" s="28">
        <v>0</v>
      </c>
      <c r="BD23" s="23">
        <v>0</v>
      </c>
      <c r="BE23" s="24">
        <f t="shared" ref="BE23:BE26" si="67">AVERAGE(BC23:BD23)</f>
        <v>0</v>
      </c>
      <c r="BF23" s="28">
        <v>0</v>
      </c>
      <c r="BG23" s="23">
        <v>0</v>
      </c>
      <c r="BH23" s="24">
        <f t="shared" ref="BH23:BH26" si="68">AVERAGE(BF23:BG23)</f>
        <v>0</v>
      </c>
      <c r="BI23" s="28">
        <v>0</v>
      </c>
      <c r="BJ23" s="23">
        <v>0</v>
      </c>
      <c r="BK23" s="23">
        <v>0</v>
      </c>
      <c r="BL23" s="23">
        <v>0</v>
      </c>
      <c r="BM23" s="24">
        <f t="shared" si="7"/>
        <v>0</v>
      </c>
      <c r="BN23" s="28">
        <v>0</v>
      </c>
      <c r="BO23" s="23">
        <v>0</v>
      </c>
      <c r="BP23" s="24">
        <f t="shared" ref="BP23:BP26" si="69">AVERAGE(BN23:BO23)</f>
        <v>0</v>
      </c>
      <c r="BQ23" s="28">
        <v>0</v>
      </c>
      <c r="BR23" s="23">
        <v>0</v>
      </c>
      <c r="BS23" s="24">
        <f t="shared" ref="BS23:BS26" si="70">AVERAGE(BQ23:BR23)</f>
        <v>0</v>
      </c>
      <c r="BT23" s="28">
        <v>0</v>
      </c>
      <c r="BU23" s="23">
        <v>0</v>
      </c>
      <c r="BV23" s="24">
        <f t="shared" ref="BV23:BV26" si="71">AVERAGE(BT23:BU23)</f>
        <v>0</v>
      </c>
      <c r="BW23" s="28">
        <v>0</v>
      </c>
      <c r="BX23" s="23">
        <v>0</v>
      </c>
      <c r="BY23" s="24">
        <f t="shared" ref="BY23:BY26" si="72">AVERAGE(BW23:BX23)</f>
        <v>0</v>
      </c>
      <c r="BZ23" s="28">
        <v>0</v>
      </c>
      <c r="CA23" s="23">
        <v>0</v>
      </c>
      <c r="CB23" s="24">
        <f t="shared" ref="CB23:CB26" si="73">AVERAGE(BZ23:CA23)</f>
        <v>0</v>
      </c>
      <c r="CC23" s="28">
        <v>0</v>
      </c>
      <c r="CD23" s="23">
        <v>0</v>
      </c>
      <c r="CE23" s="24">
        <f t="shared" ref="CE23:CE26" si="74">AVERAGE(CC23:CD23)</f>
        <v>0</v>
      </c>
    </row>
    <row r="24" spans="1:83" s="2" customFormat="1" x14ac:dyDescent="0.35">
      <c r="A24" s="12">
        <v>19</v>
      </c>
      <c r="B24" s="10">
        <v>11</v>
      </c>
      <c r="C24" s="12" t="s">
        <v>59</v>
      </c>
      <c r="D24" s="10" t="s">
        <v>39</v>
      </c>
      <c r="E24" s="2" cm="1">
        <f t="array" ref="E24">_xlfn.LET(_xlpm.scores, _xlfn.VSTACK(H24,M24,P24,U24,Z24,AC24,AF24,AI24,AN24,AQ24,AT24,AY24,BB24,BE24,BH24,BM24,BP24,BS24,BV24,BY24,CB24,CE24), IFERROR(AVERAGE(_xlfn._xlws.FILTER(_xlpm.scores, _xlpm.scores&gt;0)), 0))</f>
        <v>0</v>
      </c>
      <c r="F24" s="21">
        <v>0</v>
      </c>
      <c r="G24" s="23">
        <v>0</v>
      </c>
      <c r="H24" s="24">
        <v>0</v>
      </c>
      <c r="I24" s="28">
        <v>0</v>
      </c>
      <c r="J24" s="23">
        <v>0</v>
      </c>
      <c r="K24" s="23">
        <v>0</v>
      </c>
      <c r="L24" s="23">
        <v>0</v>
      </c>
      <c r="M24" s="24">
        <f t="shared" si="2"/>
        <v>0</v>
      </c>
      <c r="N24" s="28">
        <v>0</v>
      </c>
      <c r="O24" s="23">
        <v>0</v>
      </c>
      <c r="P24" s="24">
        <f t="shared" si="1"/>
        <v>0</v>
      </c>
      <c r="Q24" s="28">
        <v>0</v>
      </c>
      <c r="R24" s="23">
        <v>0</v>
      </c>
      <c r="S24" s="23">
        <v>0</v>
      </c>
      <c r="T24" s="23">
        <v>0</v>
      </c>
      <c r="U24" s="24">
        <f t="shared" si="3"/>
        <v>0</v>
      </c>
      <c r="V24" s="28">
        <v>0</v>
      </c>
      <c r="W24" s="23">
        <v>0</v>
      </c>
      <c r="X24" s="23">
        <v>0</v>
      </c>
      <c r="Y24" s="23">
        <v>0</v>
      </c>
      <c r="Z24" s="24">
        <f t="shared" si="4"/>
        <v>0</v>
      </c>
      <c r="AA24" s="28">
        <v>0</v>
      </c>
      <c r="AB24" s="23">
        <v>0</v>
      </c>
      <c r="AC24" s="24">
        <f t="shared" si="8"/>
        <v>0</v>
      </c>
      <c r="AD24" s="28">
        <v>0</v>
      </c>
      <c r="AE24" s="23">
        <v>0</v>
      </c>
      <c r="AF24" s="24">
        <f t="shared" si="62"/>
        <v>0</v>
      </c>
      <c r="AG24" s="28">
        <v>0</v>
      </c>
      <c r="AH24" s="23">
        <v>0</v>
      </c>
      <c r="AI24" s="24">
        <f t="shared" si="63"/>
        <v>0</v>
      </c>
      <c r="AJ24" s="28">
        <v>0</v>
      </c>
      <c r="AK24" s="23">
        <v>0</v>
      </c>
      <c r="AL24" s="23">
        <v>0</v>
      </c>
      <c r="AM24" s="23">
        <v>0</v>
      </c>
      <c r="AN24" s="24">
        <f t="shared" si="5"/>
        <v>0</v>
      </c>
      <c r="AO24" s="28">
        <v>0</v>
      </c>
      <c r="AP24" s="23">
        <v>0</v>
      </c>
      <c r="AQ24" s="24">
        <f t="shared" si="64"/>
        <v>0</v>
      </c>
      <c r="AR24" s="28">
        <v>0</v>
      </c>
      <c r="AS24" s="23">
        <v>0</v>
      </c>
      <c r="AT24" s="24">
        <f t="shared" si="65"/>
        <v>0</v>
      </c>
      <c r="AU24" s="28">
        <v>0</v>
      </c>
      <c r="AV24" s="23">
        <v>0</v>
      </c>
      <c r="AW24" s="23">
        <v>0</v>
      </c>
      <c r="AX24" s="23">
        <v>0</v>
      </c>
      <c r="AY24" s="24">
        <f t="shared" si="6"/>
        <v>0</v>
      </c>
      <c r="AZ24" s="28">
        <v>0</v>
      </c>
      <c r="BA24" s="23">
        <v>0</v>
      </c>
      <c r="BB24" s="24">
        <f t="shared" si="66"/>
        <v>0</v>
      </c>
      <c r="BC24" s="28">
        <v>0</v>
      </c>
      <c r="BD24" s="23">
        <v>0</v>
      </c>
      <c r="BE24" s="24">
        <f t="shared" si="67"/>
        <v>0</v>
      </c>
      <c r="BF24" s="28">
        <v>0</v>
      </c>
      <c r="BG24" s="23">
        <v>0</v>
      </c>
      <c r="BH24" s="24">
        <f t="shared" si="68"/>
        <v>0</v>
      </c>
      <c r="BI24" s="28">
        <v>0</v>
      </c>
      <c r="BJ24" s="23">
        <v>0</v>
      </c>
      <c r="BK24" s="23">
        <v>0</v>
      </c>
      <c r="BL24" s="23">
        <v>0</v>
      </c>
      <c r="BM24" s="24">
        <f t="shared" si="7"/>
        <v>0</v>
      </c>
      <c r="BN24" s="28">
        <v>0</v>
      </c>
      <c r="BO24" s="23">
        <v>0</v>
      </c>
      <c r="BP24" s="24">
        <f t="shared" si="69"/>
        <v>0</v>
      </c>
      <c r="BQ24" s="28">
        <v>0</v>
      </c>
      <c r="BR24" s="23">
        <v>0</v>
      </c>
      <c r="BS24" s="24">
        <f t="shared" si="70"/>
        <v>0</v>
      </c>
      <c r="BT24" s="28">
        <v>0</v>
      </c>
      <c r="BU24" s="23">
        <v>0</v>
      </c>
      <c r="BV24" s="24">
        <f t="shared" si="71"/>
        <v>0</v>
      </c>
      <c r="BW24" s="28">
        <v>0</v>
      </c>
      <c r="BX24" s="23">
        <v>0</v>
      </c>
      <c r="BY24" s="24">
        <f t="shared" si="72"/>
        <v>0</v>
      </c>
      <c r="BZ24" s="28">
        <v>0</v>
      </c>
      <c r="CA24" s="23">
        <v>0</v>
      </c>
      <c r="CB24" s="24">
        <f t="shared" si="73"/>
        <v>0</v>
      </c>
      <c r="CC24" s="28">
        <v>0</v>
      </c>
      <c r="CD24" s="23">
        <v>0</v>
      </c>
      <c r="CE24" s="24">
        <f t="shared" si="74"/>
        <v>0</v>
      </c>
    </row>
    <row r="25" spans="1:83" s="2" customFormat="1" x14ac:dyDescent="0.35">
      <c r="A25" s="12">
        <v>20</v>
      </c>
      <c r="B25" s="10">
        <v>77</v>
      </c>
      <c r="C25" s="12" t="s">
        <v>60</v>
      </c>
      <c r="D25" s="10" t="s">
        <v>39</v>
      </c>
      <c r="E25" s="2" cm="1">
        <f t="array" ref="E25">_xlfn.LET(_xlpm.scores, _xlfn.VSTACK(H25,M25,P25,U25,Z25,AC25,AF25,AI25,AN25,AQ25,AT25,AY25,BB25,BE25,BH25,BM25,BP25,BS25,BV25,BY25,CB25,CE25), IFERROR(AVERAGE(_xlfn._xlws.FILTER(_xlpm.scores, _xlpm.scores&gt;0)), 0))</f>
        <v>0</v>
      </c>
      <c r="F25" s="21">
        <v>0</v>
      </c>
      <c r="G25" s="23">
        <v>0</v>
      </c>
      <c r="H25" s="24">
        <f>AVERAGE(F25:G25)</f>
        <v>0</v>
      </c>
      <c r="I25" s="28">
        <v>0</v>
      </c>
      <c r="J25" s="23">
        <v>0</v>
      </c>
      <c r="K25" s="23">
        <v>0</v>
      </c>
      <c r="L25" s="23">
        <v>0</v>
      </c>
      <c r="M25" s="24">
        <f t="shared" si="2"/>
        <v>0</v>
      </c>
      <c r="N25" s="28">
        <v>0</v>
      </c>
      <c r="O25" s="23">
        <v>0</v>
      </c>
      <c r="P25" s="24">
        <f t="shared" si="1"/>
        <v>0</v>
      </c>
      <c r="Q25" s="28">
        <v>0</v>
      </c>
      <c r="R25" s="23">
        <v>0</v>
      </c>
      <c r="S25" s="23">
        <v>0</v>
      </c>
      <c r="T25" s="23">
        <v>0</v>
      </c>
      <c r="U25" s="24">
        <f t="shared" si="3"/>
        <v>0</v>
      </c>
      <c r="V25" s="28">
        <v>0</v>
      </c>
      <c r="W25" s="23">
        <v>0</v>
      </c>
      <c r="X25" s="23">
        <v>0</v>
      </c>
      <c r="Y25" s="23">
        <v>0</v>
      </c>
      <c r="Z25" s="24">
        <f t="shared" si="4"/>
        <v>0</v>
      </c>
      <c r="AA25" s="28">
        <v>0</v>
      </c>
      <c r="AB25" s="23">
        <v>0</v>
      </c>
      <c r="AC25" s="24">
        <f t="shared" si="8"/>
        <v>0</v>
      </c>
      <c r="AD25" s="28">
        <v>0</v>
      </c>
      <c r="AE25" s="23">
        <v>0</v>
      </c>
      <c r="AF25" s="24">
        <f t="shared" si="62"/>
        <v>0</v>
      </c>
      <c r="AG25" s="28">
        <v>0</v>
      </c>
      <c r="AH25" s="23">
        <v>0</v>
      </c>
      <c r="AI25" s="24">
        <f t="shared" si="63"/>
        <v>0</v>
      </c>
      <c r="AJ25" s="28">
        <v>0</v>
      </c>
      <c r="AK25" s="23">
        <v>0</v>
      </c>
      <c r="AL25" s="23">
        <v>0</v>
      </c>
      <c r="AM25" s="23">
        <v>0</v>
      </c>
      <c r="AN25" s="24">
        <f t="shared" si="5"/>
        <v>0</v>
      </c>
      <c r="AO25" s="28">
        <v>0</v>
      </c>
      <c r="AP25" s="23">
        <v>0</v>
      </c>
      <c r="AQ25" s="24">
        <f t="shared" si="64"/>
        <v>0</v>
      </c>
      <c r="AR25" s="28">
        <v>0</v>
      </c>
      <c r="AS25" s="23">
        <v>0</v>
      </c>
      <c r="AT25" s="24">
        <f t="shared" si="65"/>
        <v>0</v>
      </c>
      <c r="AU25" s="28">
        <v>0</v>
      </c>
      <c r="AV25" s="23">
        <v>0</v>
      </c>
      <c r="AW25" s="23">
        <v>0</v>
      </c>
      <c r="AX25" s="23">
        <v>0</v>
      </c>
      <c r="AY25" s="24">
        <f t="shared" si="6"/>
        <v>0</v>
      </c>
      <c r="AZ25" s="28">
        <v>0</v>
      </c>
      <c r="BA25" s="23">
        <v>0</v>
      </c>
      <c r="BB25" s="24">
        <f t="shared" si="66"/>
        <v>0</v>
      </c>
      <c r="BC25" s="28">
        <v>0</v>
      </c>
      <c r="BD25" s="23">
        <v>0</v>
      </c>
      <c r="BE25" s="24">
        <f t="shared" si="67"/>
        <v>0</v>
      </c>
      <c r="BF25" s="28">
        <v>0</v>
      </c>
      <c r="BG25" s="23">
        <v>0</v>
      </c>
      <c r="BH25" s="24">
        <f t="shared" si="68"/>
        <v>0</v>
      </c>
      <c r="BI25" s="28">
        <v>0</v>
      </c>
      <c r="BJ25" s="23">
        <v>0</v>
      </c>
      <c r="BK25" s="23">
        <v>0</v>
      </c>
      <c r="BL25" s="23">
        <v>0</v>
      </c>
      <c r="BM25" s="24">
        <f t="shared" si="7"/>
        <v>0</v>
      </c>
      <c r="BN25" s="28">
        <v>0</v>
      </c>
      <c r="BO25" s="23">
        <v>0</v>
      </c>
      <c r="BP25" s="24">
        <f t="shared" si="69"/>
        <v>0</v>
      </c>
      <c r="BQ25" s="28">
        <v>0</v>
      </c>
      <c r="BR25" s="23">
        <v>0</v>
      </c>
      <c r="BS25" s="24">
        <f t="shared" si="70"/>
        <v>0</v>
      </c>
      <c r="BT25" s="28">
        <v>0</v>
      </c>
      <c r="BU25" s="23">
        <v>0</v>
      </c>
      <c r="BV25" s="24">
        <f t="shared" si="71"/>
        <v>0</v>
      </c>
      <c r="BW25" s="28">
        <v>0</v>
      </c>
      <c r="BX25" s="23">
        <v>0</v>
      </c>
      <c r="BY25" s="24">
        <f t="shared" si="72"/>
        <v>0</v>
      </c>
      <c r="BZ25" s="28">
        <v>0</v>
      </c>
      <c r="CA25" s="23">
        <v>0</v>
      </c>
      <c r="CB25" s="24">
        <f t="shared" si="73"/>
        <v>0</v>
      </c>
      <c r="CC25" s="28">
        <v>0</v>
      </c>
      <c r="CD25" s="23">
        <v>0</v>
      </c>
      <c r="CE25" s="24">
        <f t="shared" si="74"/>
        <v>0</v>
      </c>
    </row>
    <row r="26" spans="1:83" s="2" customFormat="1" x14ac:dyDescent="0.35">
      <c r="A26" s="12">
        <v>21</v>
      </c>
      <c r="B26" s="11">
        <v>14</v>
      </c>
      <c r="C26" s="12" t="s">
        <v>61</v>
      </c>
      <c r="D26" s="11" t="s">
        <v>40</v>
      </c>
      <c r="E26" s="2" cm="1">
        <f t="array" ref="E26">_xlfn.LET(_xlpm.scores, _xlfn.VSTACK(H26,M26,P26,U26,Z26,AC26,AF26,AI26,AN26,AQ26,AT26,AY26,BB26,BE26,BH26,BM26,BP26,BS26,BV26,BY26,CB26,CE26), IFERROR(AVERAGE(_xlfn._xlws.FILTER(_xlpm.scores, _xlpm.scores&gt;0)), 0))</f>
        <v>0</v>
      </c>
      <c r="F26" s="21">
        <v>0</v>
      </c>
      <c r="G26" s="23">
        <v>0</v>
      </c>
      <c r="H26" s="24">
        <f>AVERAGE(F26:G26)</f>
        <v>0</v>
      </c>
      <c r="I26" s="28">
        <v>0</v>
      </c>
      <c r="J26" s="23">
        <v>0</v>
      </c>
      <c r="K26" s="23">
        <v>0</v>
      </c>
      <c r="L26" s="23">
        <v>0</v>
      </c>
      <c r="M26" s="24">
        <f t="shared" si="2"/>
        <v>0</v>
      </c>
      <c r="N26" s="28">
        <v>0</v>
      </c>
      <c r="O26" s="23">
        <v>0</v>
      </c>
      <c r="P26" s="24">
        <f t="shared" si="1"/>
        <v>0</v>
      </c>
      <c r="Q26" s="28">
        <v>0</v>
      </c>
      <c r="R26" s="23">
        <v>0</v>
      </c>
      <c r="S26" s="23">
        <v>0</v>
      </c>
      <c r="T26" s="23">
        <v>0</v>
      </c>
      <c r="U26" s="24">
        <f t="shared" si="3"/>
        <v>0</v>
      </c>
      <c r="V26" s="28">
        <v>0</v>
      </c>
      <c r="W26" s="23">
        <v>0</v>
      </c>
      <c r="X26" s="23">
        <v>0</v>
      </c>
      <c r="Y26" s="23">
        <v>0</v>
      </c>
      <c r="Z26" s="24">
        <f t="shared" si="4"/>
        <v>0</v>
      </c>
      <c r="AA26" s="28">
        <v>0</v>
      </c>
      <c r="AB26" s="23">
        <v>0</v>
      </c>
      <c r="AC26" s="24">
        <f t="shared" si="8"/>
        <v>0</v>
      </c>
      <c r="AD26" s="28">
        <v>0</v>
      </c>
      <c r="AE26" s="23">
        <v>0</v>
      </c>
      <c r="AF26" s="24">
        <f t="shared" si="62"/>
        <v>0</v>
      </c>
      <c r="AG26" s="28">
        <v>0</v>
      </c>
      <c r="AH26" s="23">
        <v>0</v>
      </c>
      <c r="AI26" s="24">
        <f t="shared" si="63"/>
        <v>0</v>
      </c>
      <c r="AJ26" s="28">
        <v>0</v>
      </c>
      <c r="AK26" s="23">
        <v>0</v>
      </c>
      <c r="AL26" s="23">
        <v>0</v>
      </c>
      <c r="AM26" s="23">
        <v>0</v>
      </c>
      <c r="AN26" s="24">
        <f t="shared" si="5"/>
        <v>0</v>
      </c>
      <c r="AO26" s="28">
        <v>0</v>
      </c>
      <c r="AP26" s="23">
        <v>0</v>
      </c>
      <c r="AQ26" s="24">
        <f t="shared" si="64"/>
        <v>0</v>
      </c>
      <c r="AR26" s="28">
        <v>0</v>
      </c>
      <c r="AS26" s="23">
        <v>0</v>
      </c>
      <c r="AT26" s="24">
        <f t="shared" si="65"/>
        <v>0</v>
      </c>
      <c r="AU26" s="28">
        <v>0</v>
      </c>
      <c r="AV26" s="23">
        <v>0</v>
      </c>
      <c r="AW26" s="23">
        <v>0</v>
      </c>
      <c r="AX26" s="23">
        <v>0</v>
      </c>
      <c r="AY26" s="24">
        <f t="shared" si="6"/>
        <v>0</v>
      </c>
      <c r="AZ26" s="28">
        <v>0</v>
      </c>
      <c r="BA26" s="23">
        <v>0</v>
      </c>
      <c r="BB26" s="24">
        <f t="shared" si="66"/>
        <v>0</v>
      </c>
      <c r="BC26" s="28">
        <v>0</v>
      </c>
      <c r="BD26" s="23">
        <v>0</v>
      </c>
      <c r="BE26" s="24">
        <f t="shared" si="67"/>
        <v>0</v>
      </c>
      <c r="BF26" s="28">
        <v>0</v>
      </c>
      <c r="BG26" s="23">
        <v>0</v>
      </c>
      <c r="BH26" s="24">
        <f t="shared" si="68"/>
        <v>0</v>
      </c>
      <c r="BI26" s="28">
        <v>0</v>
      </c>
      <c r="BJ26" s="23">
        <v>0</v>
      </c>
      <c r="BK26" s="23">
        <v>0</v>
      </c>
      <c r="BL26" s="23">
        <v>0</v>
      </c>
      <c r="BM26" s="24">
        <f t="shared" si="7"/>
        <v>0</v>
      </c>
      <c r="BN26" s="28">
        <v>0</v>
      </c>
      <c r="BO26" s="23">
        <v>0</v>
      </c>
      <c r="BP26" s="24">
        <f t="shared" si="69"/>
        <v>0</v>
      </c>
      <c r="BQ26" s="28">
        <v>0</v>
      </c>
      <c r="BR26" s="23">
        <v>0</v>
      </c>
      <c r="BS26" s="24">
        <f t="shared" si="70"/>
        <v>0</v>
      </c>
      <c r="BT26" s="28">
        <v>0</v>
      </c>
      <c r="BU26" s="23">
        <v>0</v>
      </c>
      <c r="BV26" s="24">
        <f t="shared" si="71"/>
        <v>0</v>
      </c>
      <c r="BW26" s="28">
        <v>0</v>
      </c>
      <c r="BX26" s="23">
        <v>0</v>
      </c>
      <c r="BY26" s="24">
        <f t="shared" si="72"/>
        <v>0</v>
      </c>
      <c r="BZ26" s="28">
        <v>0</v>
      </c>
      <c r="CA26" s="23">
        <v>0</v>
      </c>
      <c r="CB26" s="24">
        <f t="shared" si="73"/>
        <v>0</v>
      </c>
      <c r="CC26" s="28">
        <v>0</v>
      </c>
      <c r="CD26" s="23">
        <v>0</v>
      </c>
      <c r="CE26" s="24">
        <f t="shared" si="74"/>
        <v>0</v>
      </c>
    </row>
    <row r="27" spans="1:83" s="2" customFormat="1" x14ac:dyDescent="0.35">
      <c r="A27" s="12">
        <v>22</v>
      </c>
      <c r="B27" s="11">
        <v>18</v>
      </c>
      <c r="C27" s="12" t="s">
        <v>62</v>
      </c>
      <c r="D27" s="11" t="s">
        <v>40</v>
      </c>
      <c r="E27" s="2" cm="1">
        <f t="array" ref="E27">_xlfn.LET(_xlpm.scores, _xlfn.VSTACK(H27,M27,P27,U27,Z27,AC27,AF27,AI27,AN27,AQ27,AT27,AY27,BB27,BE27,BH27,BM27,BP27,BS27,BV27,BY27,CB27,CE27), IFERROR(AVERAGE(_xlfn._xlws.FILTER(_xlpm.scores, _xlpm.scores&gt;0)), 0))</f>
        <v>0</v>
      </c>
      <c r="F27" s="21">
        <v>0</v>
      </c>
      <c r="G27" s="23">
        <v>0</v>
      </c>
      <c r="H27" s="24">
        <f>AVERAGE(F27:G27)</f>
        <v>0</v>
      </c>
      <c r="I27" s="28">
        <v>0</v>
      </c>
      <c r="J27" s="23">
        <v>0</v>
      </c>
      <c r="K27" s="23">
        <v>0</v>
      </c>
      <c r="L27" s="23">
        <v>0</v>
      </c>
      <c r="M27" s="24">
        <f t="shared" si="2"/>
        <v>0</v>
      </c>
      <c r="N27" s="28">
        <v>0</v>
      </c>
      <c r="O27" s="23">
        <v>0</v>
      </c>
      <c r="P27" s="24">
        <f t="shared" si="1"/>
        <v>0</v>
      </c>
      <c r="Q27" s="28">
        <v>0</v>
      </c>
      <c r="R27" s="23">
        <v>0</v>
      </c>
      <c r="S27" s="23">
        <v>0</v>
      </c>
      <c r="T27" s="23">
        <v>0</v>
      </c>
      <c r="U27" s="24">
        <f t="shared" si="3"/>
        <v>0</v>
      </c>
      <c r="V27" s="28">
        <v>0</v>
      </c>
      <c r="W27" s="23">
        <v>0</v>
      </c>
      <c r="X27" s="23">
        <v>0</v>
      </c>
      <c r="Y27" s="23">
        <v>0</v>
      </c>
      <c r="Z27" s="24">
        <f t="shared" si="4"/>
        <v>0</v>
      </c>
      <c r="AA27" s="28">
        <v>0</v>
      </c>
      <c r="AB27" s="23">
        <v>0</v>
      </c>
      <c r="AC27" s="24">
        <f>AVERAGE(AA27:AB27)</f>
        <v>0</v>
      </c>
      <c r="AD27" s="28">
        <v>0</v>
      </c>
      <c r="AE27" s="23">
        <v>0</v>
      </c>
      <c r="AF27" s="24">
        <f>AVERAGE(AD27:AE27)</f>
        <v>0</v>
      </c>
      <c r="AG27" s="28">
        <v>0</v>
      </c>
      <c r="AH27" s="23">
        <v>0</v>
      </c>
      <c r="AI27" s="24">
        <f>AVERAGE(AG27:AH27)</f>
        <v>0</v>
      </c>
      <c r="AJ27" s="28">
        <v>0</v>
      </c>
      <c r="AK27" s="23">
        <v>0</v>
      </c>
      <c r="AL27" s="23">
        <v>0</v>
      </c>
      <c r="AM27" s="23">
        <v>0</v>
      </c>
      <c r="AN27" s="24">
        <f t="shared" si="5"/>
        <v>0</v>
      </c>
      <c r="AO27" s="28">
        <v>0</v>
      </c>
      <c r="AP27" s="23">
        <v>0</v>
      </c>
      <c r="AQ27" s="24">
        <f>AVERAGE(AO27:AP27)</f>
        <v>0</v>
      </c>
      <c r="AR27" s="28">
        <v>0</v>
      </c>
      <c r="AS27" s="23">
        <v>0</v>
      </c>
      <c r="AT27" s="24">
        <f>AVERAGE(AR27:AS27)</f>
        <v>0</v>
      </c>
      <c r="AU27" s="28">
        <v>0</v>
      </c>
      <c r="AV27" s="23">
        <v>0</v>
      </c>
      <c r="AW27" s="23">
        <v>0</v>
      </c>
      <c r="AX27" s="23">
        <v>0</v>
      </c>
      <c r="AY27" s="24">
        <f t="shared" si="6"/>
        <v>0</v>
      </c>
      <c r="AZ27" s="28">
        <v>0</v>
      </c>
      <c r="BA27" s="23">
        <v>0</v>
      </c>
      <c r="BB27" s="24">
        <f>AVERAGE(AZ27:BA27)</f>
        <v>0</v>
      </c>
      <c r="BC27" s="28">
        <v>0</v>
      </c>
      <c r="BD27" s="23">
        <v>0</v>
      </c>
      <c r="BE27" s="24">
        <f>AVERAGE(BC27:BD27)</f>
        <v>0</v>
      </c>
      <c r="BF27" s="28">
        <v>0</v>
      </c>
      <c r="BG27" s="23">
        <v>0</v>
      </c>
      <c r="BH27" s="24">
        <f>AVERAGE(BF27:BG27)</f>
        <v>0</v>
      </c>
      <c r="BI27" s="28">
        <v>0</v>
      </c>
      <c r="BJ27" s="23">
        <v>0</v>
      </c>
      <c r="BK27" s="23">
        <v>0</v>
      </c>
      <c r="BL27" s="23">
        <v>0</v>
      </c>
      <c r="BM27" s="24">
        <f t="shared" si="7"/>
        <v>0</v>
      </c>
      <c r="BN27" s="28">
        <v>0</v>
      </c>
      <c r="BO27" s="23">
        <v>0</v>
      </c>
      <c r="BP27" s="24">
        <f>AVERAGE(BN27:BO27)</f>
        <v>0</v>
      </c>
      <c r="BQ27" s="28">
        <v>0</v>
      </c>
      <c r="BR27" s="23">
        <v>0</v>
      </c>
      <c r="BS27" s="24">
        <f>AVERAGE(BQ27:BR27)</f>
        <v>0</v>
      </c>
      <c r="BT27" s="28">
        <v>0</v>
      </c>
      <c r="BU27" s="23">
        <v>0</v>
      </c>
      <c r="BV27" s="24">
        <f>AVERAGE(BT27:BU27)</f>
        <v>0</v>
      </c>
      <c r="BW27" s="28">
        <v>0</v>
      </c>
      <c r="BX27" s="23">
        <v>0</v>
      </c>
      <c r="BY27" s="24">
        <f>AVERAGE(BW27:BX27)</f>
        <v>0</v>
      </c>
      <c r="BZ27" s="28">
        <v>0</v>
      </c>
      <c r="CA27" s="23">
        <v>0</v>
      </c>
      <c r="CB27" s="24">
        <f>AVERAGE(BZ27:CA27)</f>
        <v>0</v>
      </c>
      <c r="CC27" s="28">
        <v>0</v>
      </c>
      <c r="CD27" s="23">
        <v>0</v>
      </c>
      <c r="CE27" s="24">
        <f>AVERAGE(CC27:CD27)</f>
        <v>0</v>
      </c>
    </row>
    <row r="28" spans="1:83" ht="0.5" customHeight="1" x14ac:dyDescent="0.35">
      <c r="M28" s="24">
        <f t="shared" ref="M28" si="75">((I28+J28)*0.24) + ((K28+L28)*0.76)</f>
        <v>0</v>
      </c>
    </row>
    <row r="29" spans="1:83" ht="26.5" customHeight="1" x14ac:dyDescent="0.35">
      <c r="A29" s="13"/>
      <c r="B29" s="13"/>
      <c r="C29" s="13"/>
      <c r="D29" s="13"/>
      <c r="E29" s="13"/>
      <c r="F29" s="37" t="e" vm="1">
        <f>_xlfn.IMAGE("https://flagcdn.com/w640/au.png")</f>
        <v>#VALUE!</v>
      </c>
      <c r="G29" s="38"/>
      <c r="H29" s="39"/>
      <c r="I29" s="38" t="e" vm="2">
        <f>_xlfn.IMAGE("https://flagcdn.com/w640/cn.png")</f>
        <v>#VALUE!</v>
      </c>
      <c r="J29" s="38"/>
      <c r="K29" s="38"/>
      <c r="L29" s="38"/>
      <c r="M29" s="38"/>
      <c r="N29" s="37" t="e" vm="3">
        <f>_xlfn.IMAGE("https://flagcdn.com/w640/jp.png")</f>
        <v>#VALUE!</v>
      </c>
      <c r="O29" s="38"/>
      <c r="P29" s="39"/>
      <c r="Q29" s="38" t="e" vm="4">
        <f>_xlfn.IMAGE("https://flagcdn.com/w640/us.png")</f>
        <v>#VALUE!</v>
      </c>
      <c r="R29" s="38"/>
      <c r="S29" s="38"/>
      <c r="T29" s="38"/>
      <c r="U29" s="39"/>
      <c r="V29" s="37" t="e" vm="5">
        <f>_xlfn.IMAGE("https://flagcdn.com/w640/ca.png")</f>
        <v>#VALUE!</v>
      </c>
      <c r="W29" s="38"/>
      <c r="X29" s="38"/>
      <c r="Y29" s="38"/>
      <c r="Z29" s="38"/>
      <c r="AA29" s="37" t="e" vm="6">
        <f>_xlfn.IMAGE("https://flagcdn.com/w640/mc.png")</f>
        <v>#VALUE!</v>
      </c>
      <c r="AB29" s="38"/>
      <c r="AC29" s="39"/>
      <c r="AD29" s="37" t="e" vm="7">
        <f>_xlfn.IMAGE("https://flagcdn.com/w640/es.png")</f>
        <v>#VALUE!</v>
      </c>
      <c r="AE29" s="38"/>
      <c r="AF29" s="39"/>
      <c r="AG29" s="37" t="e" vm="8">
        <f>_xlfn.IMAGE("https://flagcdn.com/w640/at.png")</f>
        <v>#VALUE!</v>
      </c>
      <c r="AH29" s="38"/>
      <c r="AI29" s="39"/>
      <c r="AJ29" s="38" t="e" vm="9">
        <f>_xlfn.IMAGE("https://flagcdn.com/w640/gb.png")</f>
        <v>#VALUE!</v>
      </c>
      <c r="AK29" s="38"/>
      <c r="AL29" s="38"/>
      <c r="AM29" s="38"/>
      <c r="AN29" s="38"/>
      <c r="AO29" s="37" t="e" vm="10">
        <f>_xlfn.IMAGE("https://flagcdn.com/w640/be.png")</f>
        <v>#VALUE!</v>
      </c>
      <c r="AP29" s="38"/>
      <c r="AQ29" s="39"/>
      <c r="AR29" s="37" t="e" vm="11">
        <f>_xlfn.IMAGE("https://flagcdn.com/w640/hu.png")</f>
        <v>#VALUE!</v>
      </c>
      <c r="AS29" s="38"/>
      <c r="AT29" s="39"/>
      <c r="AU29" s="38" t="e" vm="12">
        <f>_xlfn.IMAGE("https://flagcdn.com/w640/nl.png")</f>
        <v>#VALUE!</v>
      </c>
      <c r="AV29" s="38"/>
      <c r="AW29" s="38"/>
      <c r="AX29" s="38"/>
      <c r="AY29" s="38"/>
      <c r="AZ29" s="37" t="e" vm="13">
        <f>_xlfn.IMAGE("https://flagcdn.com/w640/it.png")</f>
        <v>#VALUE!</v>
      </c>
      <c r="BA29" s="38"/>
      <c r="BB29" s="39"/>
      <c r="BC29" s="37" t="e" vm="7">
        <f>_xlfn.IMAGE("https://flagcdn.com/w640/es.png")</f>
        <v>#VALUE!</v>
      </c>
      <c r="BD29" s="38"/>
      <c r="BE29" s="39"/>
      <c r="BF29" s="37" t="e" vm="14">
        <f>_xlfn.IMAGE("https://flagcdn.com/w640/az.png")</f>
        <v>#VALUE!</v>
      </c>
      <c r="BG29" s="38"/>
      <c r="BH29" s="39"/>
      <c r="BI29" s="38" t="e" vm="15">
        <f>_xlfn.IMAGE("https://flagcdn.com/w640/sg.png")</f>
        <v>#VALUE!</v>
      </c>
      <c r="BJ29" s="38"/>
      <c r="BK29" s="38"/>
      <c r="BL29" s="38"/>
      <c r="BM29" s="38"/>
      <c r="BN29" s="37" t="e" vm="4">
        <f>_xlfn.IMAGE("https://flagcdn.com/w640/us.png")</f>
        <v>#VALUE!</v>
      </c>
      <c r="BO29" s="38"/>
      <c r="BP29" s="39"/>
      <c r="BQ29" s="37" t="e" vm="16">
        <f>_xlfn.IMAGE("https://flagcdn.com/w640/mx.png")</f>
        <v>#VALUE!</v>
      </c>
      <c r="BR29" s="38"/>
      <c r="BS29" s="39"/>
      <c r="BT29" s="37" t="e" vm="17">
        <f>_xlfn.IMAGE("https://flagcdn.com/w640/br.png")</f>
        <v>#VALUE!</v>
      </c>
      <c r="BU29" s="38"/>
      <c r="BV29" s="39"/>
      <c r="BW29" s="37" t="e" vm="4">
        <f>_xlfn.IMAGE("https://flagcdn.com/w640/us.png")</f>
        <v>#VALUE!</v>
      </c>
      <c r="BX29" s="38"/>
      <c r="BY29" s="39"/>
      <c r="BZ29" s="37" t="e" vm="18">
        <f>_xlfn.IMAGE("https://flagcdn.com/w640/qa.png")</f>
        <v>#VALUE!</v>
      </c>
      <c r="CA29" s="38"/>
      <c r="CB29" s="39"/>
      <c r="CC29" s="37" t="e" vm="19">
        <f>_xlfn.IMAGE("https://flagcdn.com/w640/ae.png")</f>
        <v>#VALUE!</v>
      </c>
      <c r="CD29" s="38"/>
      <c r="CE29" s="39"/>
    </row>
    <row r="30" spans="1:83" ht="15" thickBot="1" x14ac:dyDescent="0.4">
      <c r="A30" s="32" t="s">
        <v>0</v>
      </c>
      <c r="B30" s="32" t="s">
        <v>63</v>
      </c>
      <c r="C30" s="32" t="s">
        <v>1</v>
      </c>
      <c r="D30" s="32" t="s">
        <v>2</v>
      </c>
      <c r="E30" s="32" t="s">
        <v>3</v>
      </c>
      <c r="F30" s="31" t="s">
        <v>4</v>
      </c>
      <c r="G30" s="32"/>
      <c r="H30" s="33"/>
      <c r="I30" s="32" t="s">
        <v>5</v>
      </c>
      <c r="J30" s="32"/>
      <c r="K30" s="32"/>
      <c r="L30" s="32"/>
      <c r="M30" s="32"/>
      <c r="N30" s="31" t="s">
        <v>6</v>
      </c>
      <c r="O30" s="32"/>
      <c r="P30" s="33"/>
      <c r="Q30" s="34" t="s">
        <v>7</v>
      </c>
      <c r="R30" s="35"/>
      <c r="S30" s="35"/>
      <c r="T30" s="35"/>
      <c r="U30" s="36"/>
      <c r="V30" s="34" t="s">
        <v>8</v>
      </c>
      <c r="W30" s="35"/>
      <c r="X30" s="35"/>
      <c r="Y30" s="35"/>
      <c r="Z30" s="36"/>
      <c r="AA30" s="31" t="s">
        <v>9</v>
      </c>
      <c r="AB30" s="32"/>
      <c r="AC30" s="33"/>
      <c r="AD30" s="31" t="s">
        <v>10</v>
      </c>
      <c r="AE30" s="32"/>
      <c r="AF30" s="33"/>
      <c r="AG30" s="31" t="s">
        <v>11</v>
      </c>
      <c r="AH30" s="32"/>
      <c r="AI30" s="33"/>
      <c r="AJ30" s="32" t="s">
        <v>12</v>
      </c>
      <c r="AK30" s="32"/>
      <c r="AL30" s="32"/>
      <c r="AM30" s="32"/>
      <c r="AN30" s="32"/>
      <c r="AO30" s="31" t="s">
        <v>13</v>
      </c>
      <c r="AP30" s="32"/>
      <c r="AQ30" s="33"/>
      <c r="AR30" s="31" t="s">
        <v>14</v>
      </c>
      <c r="AS30" s="32"/>
      <c r="AT30" s="33"/>
      <c r="AU30" s="34" t="s">
        <v>15</v>
      </c>
      <c r="AV30" s="35"/>
      <c r="AW30" s="35"/>
      <c r="AX30" s="35"/>
      <c r="AY30" s="36"/>
      <c r="AZ30" s="31" t="s">
        <v>16</v>
      </c>
      <c r="BA30" s="32"/>
      <c r="BB30" s="33"/>
      <c r="BC30" s="31" t="s">
        <v>17</v>
      </c>
      <c r="BD30" s="32"/>
      <c r="BE30" s="33"/>
      <c r="BF30" s="31" t="s">
        <v>18</v>
      </c>
      <c r="BG30" s="32"/>
      <c r="BH30" s="33"/>
      <c r="BI30" s="34" t="s">
        <v>19</v>
      </c>
      <c r="BJ30" s="35"/>
      <c r="BK30" s="35"/>
      <c r="BL30" s="35"/>
      <c r="BM30" s="36"/>
      <c r="BN30" s="31" t="s">
        <v>20</v>
      </c>
      <c r="BO30" s="32"/>
      <c r="BP30" s="33"/>
      <c r="BQ30" s="31" t="s">
        <v>21</v>
      </c>
      <c r="BR30" s="32"/>
      <c r="BS30" s="33"/>
      <c r="BT30" s="31" t="s">
        <v>22</v>
      </c>
      <c r="BU30" s="32"/>
      <c r="BV30" s="33"/>
      <c r="BW30" s="31" t="s">
        <v>23</v>
      </c>
      <c r="BX30" s="32"/>
      <c r="BY30" s="33"/>
      <c r="BZ30" s="31" t="s">
        <v>24</v>
      </c>
      <c r="CA30" s="32"/>
      <c r="CB30" s="33"/>
      <c r="CC30" s="31" t="s">
        <v>25</v>
      </c>
      <c r="CD30" s="32"/>
      <c r="CE30" s="33"/>
    </row>
    <row r="31" spans="1:83" ht="15" thickTop="1" x14ac:dyDescent="0.35">
      <c r="A31" s="32"/>
      <c r="B31" s="32"/>
      <c r="C31" s="32"/>
      <c r="D31" s="32"/>
      <c r="E31" s="32"/>
      <c r="F31" s="22" t="s">
        <v>26</v>
      </c>
      <c r="G31" s="25" t="s">
        <v>27</v>
      </c>
      <c r="H31" s="26" t="s">
        <v>3</v>
      </c>
      <c r="I31" s="27" t="s">
        <v>28</v>
      </c>
      <c r="J31" s="25" t="s">
        <v>29</v>
      </c>
      <c r="K31" s="25" t="s">
        <v>26</v>
      </c>
      <c r="L31" s="25" t="s">
        <v>27</v>
      </c>
      <c r="M31" s="26" t="s">
        <v>3</v>
      </c>
      <c r="N31" s="27" t="s">
        <v>26</v>
      </c>
      <c r="O31" s="25" t="s">
        <v>27</v>
      </c>
      <c r="P31" s="26" t="s">
        <v>3</v>
      </c>
      <c r="Q31" s="27" t="s">
        <v>28</v>
      </c>
      <c r="R31" s="25" t="s">
        <v>29</v>
      </c>
      <c r="S31" s="25" t="s">
        <v>26</v>
      </c>
      <c r="T31" s="25" t="s">
        <v>27</v>
      </c>
      <c r="U31" s="26" t="s">
        <v>3</v>
      </c>
      <c r="V31" s="27" t="s">
        <v>28</v>
      </c>
      <c r="W31" s="25" t="s">
        <v>29</v>
      </c>
      <c r="X31" s="25" t="s">
        <v>26</v>
      </c>
      <c r="Y31" s="25" t="s">
        <v>27</v>
      </c>
      <c r="Z31" s="26" t="s">
        <v>3</v>
      </c>
      <c r="AA31" s="27" t="s">
        <v>26</v>
      </c>
      <c r="AB31" s="25" t="s">
        <v>27</v>
      </c>
      <c r="AC31" s="26" t="s">
        <v>3</v>
      </c>
      <c r="AD31" s="27" t="s">
        <v>26</v>
      </c>
      <c r="AE31" s="25" t="s">
        <v>27</v>
      </c>
      <c r="AF31" s="26" t="s">
        <v>3</v>
      </c>
      <c r="AG31" s="27" t="s">
        <v>26</v>
      </c>
      <c r="AH31" s="25" t="s">
        <v>27</v>
      </c>
      <c r="AI31" s="26" t="s">
        <v>3</v>
      </c>
      <c r="AJ31" s="27" t="s">
        <v>28</v>
      </c>
      <c r="AK31" s="25" t="s">
        <v>29</v>
      </c>
      <c r="AL31" s="25" t="s">
        <v>26</v>
      </c>
      <c r="AM31" s="25" t="s">
        <v>27</v>
      </c>
      <c r="AN31" s="26" t="s">
        <v>3</v>
      </c>
      <c r="AO31" s="27" t="s">
        <v>26</v>
      </c>
      <c r="AP31" s="25" t="s">
        <v>27</v>
      </c>
      <c r="AQ31" s="26" t="s">
        <v>3</v>
      </c>
      <c r="AR31" s="27" t="s">
        <v>26</v>
      </c>
      <c r="AS31" s="25" t="s">
        <v>27</v>
      </c>
      <c r="AT31" s="26" t="s">
        <v>3</v>
      </c>
      <c r="AU31" s="27" t="s">
        <v>28</v>
      </c>
      <c r="AV31" s="25" t="s">
        <v>29</v>
      </c>
      <c r="AW31" s="25" t="s">
        <v>26</v>
      </c>
      <c r="AX31" s="25" t="s">
        <v>27</v>
      </c>
      <c r="AY31" s="26" t="s">
        <v>3</v>
      </c>
      <c r="AZ31" s="27" t="s">
        <v>26</v>
      </c>
      <c r="BA31" s="25" t="s">
        <v>27</v>
      </c>
      <c r="BB31" s="26" t="s">
        <v>3</v>
      </c>
      <c r="BC31" s="27" t="s">
        <v>26</v>
      </c>
      <c r="BD31" s="25" t="s">
        <v>27</v>
      </c>
      <c r="BE31" s="26" t="s">
        <v>3</v>
      </c>
      <c r="BF31" s="27" t="s">
        <v>26</v>
      </c>
      <c r="BG31" s="25" t="s">
        <v>27</v>
      </c>
      <c r="BH31" s="26" t="s">
        <v>3</v>
      </c>
      <c r="BI31" s="27" t="s">
        <v>28</v>
      </c>
      <c r="BJ31" s="25" t="s">
        <v>29</v>
      </c>
      <c r="BK31" s="25" t="s">
        <v>26</v>
      </c>
      <c r="BL31" s="25" t="s">
        <v>27</v>
      </c>
      <c r="BM31" s="26" t="s">
        <v>3</v>
      </c>
      <c r="BN31" s="27" t="s">
        <v>26</v>
      </c>
      <c r="BO31" s="25" t="s">
        <v>27</v>
      </c>
      <c r="BP31" s="26" t="s">
        <v>3</v>
      </c>
      <c r="BQ31" s="27" t="s">
        <v>26</v>
      </c>
      <c r="BR31" s="25" t="s">
        <v>27</v>
      </c>
      <c r="BS31" s="26" t="s">
        <v>3</v>
      </c>
      <c r="BT31" s="27" t="s">
        <v>26</v>
      </c>
      <c r="BU31" s="25" t="s">
        <v>27</v>
      </c>
      <c r="BV31" s="26" t="s">
        <v>3</v>
      </c>
      <c r="BW31" s="27" t="s">
        <v>26</v>
      </c>
      <c r="BX31" s="25" t="s">
        <v>27</v>
      </c>
      <c r="BY31" s="26" t="s">
        <v>3</v>
      </c>
      <c r="BZ31" s="27" t="s">
        <v>26</v>
      </c>
      <c r="CA31" s="25" t="s">
        <v>27</v>
      </c>
      <c r="CB31" s="26" t="s">
        <v>3</v>
      </c>
      <c r="CC31" s="27" t="s">
        <v>26</v>
      </c>
      <c r="CD31" s="25" t="s">
        <v>27</v>
      </c>
      <c r="CE31" s="26" t="s">
        <v>3</v>
      </c>
    </row>
    <row r="32" spans="1:83" x14ac:dyDescent="0.35">
      <c r="A32" s="12">
        <v>1</v>
      </c>
      <c r="B32" s="18" cm="1">
        <f t="array" ref="B32:CE53">_xlfn._xlws.SORT(B6:CE27,4,-1)</f>
        <v>1</v>
      </c>
      <c r="C32" s="12" t="str">
        <v>Lando Norris</v>
      </c>
      <c r="D32" s="18" t="str">
        <v>McLaren</v>
      </c>
      <c r="E32" s="2">
        <v>8.6859999999999999</v>
      </c>
      <c r="F32" s="21">
        <v>0</v>
      </c>
      <c r="G32" s="23">
        <v>0</v>
      </c>
      <c r="H32" s="24">
        <v>0</v>
      </c>
      <c r="I32" s="28">
        <v>0</v>
      </c>
      <c r="J32" s="23">
        <v>0</v>
      </c>
      <c r="K32" s="23">
        <v>0</v>
      </c>
      <c r="L32" s="23">
        <v>0</v>
      </c>
      <c r="M32" s="24">
        <v>0</v>
      </c>
      <c r="N32" s="28">
        <v>0</v>
      </c>
      <c r="O32" s="23">
        <v>0</v>
      </c>
      <c r="P32" s="24">
        <v>0</v>
      </c>
      <c r="Q32" s="28">
        <v>0</v>
      </c>
      <c r="R32" s="23">
        <v>0</v>
      </c>
      <c r="S32" s="23">
        <v>0</v>
      </c>
      <c r="T32" s="23">
        <v>0</v>
      </c>
      <c r="U32" s="24">
        <v>0</v>
      </c>
      <c r="V32" s="28">
        <v>8.75</v>
      </c>
      <c r="W32" s="23">
        <v>9.8000000000000007</v>
      </c>
      <c r="X32" s="23">
        <v>8.5</v>
      </c>
      <c r="Y32" s="23">
        <v>8.5</v>
      </c>
      <c r="Z32" s="24">
        <v>8.6859999999999999</v>
      </c>
      <c r="AA32" s="28">
        <v>0</v>
      </c>
      <c r="AB32" s="23">
        <v>0</v>
      </c>
      <c r="AC32" s="24">
        <v>0</v>
      </c>
      <c r="AD32" s="28">
        <v>0</v>
      </c>
      <c r="AE32" s="23">
        <v>0</v>
      </c>
      <c r="AF32" s="24">
        <v>0</v>
      </c>
      <c r="AG32" s="28">
        <v>0</v>
      </c>
      <c r="AH32" s="23">
        <v>0</v>
      </c>
      <c r="AI32" s="24">
        <v>0</v>
      </c>
      <c r="AJ32" s="28">
        <v>0</v>
      </c>
      <c r="AK32" s="23">
        <v>0</v>
      </c>
      <c r="AL32" s="23">
        <v>0</v>
      </c>
      <c r="AM32" s="23">
        <v>0</v>
      </c>
      <c r="AN32" s="24">
        <v>0</v>
      </c>
      <c r="AO32" s="28">
        <v>0</v>
      </c>
      <c r="AP32" s="23">
        <v>0</v>
      </c>
      <c r="AQ32" s="24">
        <v>0</v>
      </c>
      <c r="AR32" s="28">
        <v>0</v>
      </c>
      <c r="AS32" s="23">
        <v>0</v>
      </c>
      <c r="AT32" s="24">
        <v>0</v>
      </c>
      <c r="AU32" s="28">
        <v>0</v>
      </c>
      <c r="AV32" s="23">
        <v>0</v>
      </c>
      <c r="AW32" s="23">
        <v>0</v>
      </c>
      <c r="AX32" s="23">
        <v>0</v>
      </c>
      <c r="AY32" s="24">
        <v>0</v>
      </c>
      <c r="AZ32" s="28">
        <v>0</v>
      </c>
      <c r="BA32" s="23">
        <v>0</v>
      </c>
      <c r="BB32" s="24">
        <v>0</v>
      </c>
      <c r="BC32" s="28">
        <v>0</v>
      </c>
      <c r="BD32" s="23">
        <v>0</v>
      </c>
      <c r="BE32" s="24">
        <v>0</v>
      </c>
      <c r="BF32" s="28">
        <v>0</v>
      </c>
      <c r="BG32" s="23">
        <v>0</v>
      </c>
      <c r="BH32" s="24">
        <v>0</v>
      </c>
      <c r="BI32" s="28">
        <v>0</v>
      </c>
      <c r="BJ32" s="23">
        <v>0</v>
      </c>
      <c r="BK32" s="23">
        <v>0</v>
      </c>
      <c r="BL32" s="23">
        <v>0</v>
      </c>
      <c r="BM32" s="24">
        <v>0</v>
      </c>
      <c r="BN32" s="28">
        <v>0</v>
      </c>
      <c r="BO32" s="23">
        <v>0</v>
      </c>
      <c r="BP32" s="24">
        <v>0</v>
      </c>
      <c r="BQ32" s="28">
        <v>0</v>
      </c>
      <c r="BR32" s="23">
        <v>0</v>
      </c>
      <c r="BS32" s="24">
        <v>0</v>
      </c>
      <c r="BT32" s="28">
        <v>0</v>
      </c>
      <c r="BU32" s="23">
        <v>0</v>
      </c>
      <c r="BV32" s="24">
        <v>0</v>
      </c>
      <c r="BW32" s="28">
        <v>0</v>
      </c>
      <c r="BX32" s="23">
        <v>0</v>
      </c>
      <c r="BY32" s="24">
        <v>0</v>
      </c>
      <c r="BZ32" s="28">
        <v>0</v>
      </c>
      <c r="CA32" s="23">
        <v>0</v>
      </c>
      <c r="CB32" s="24">
        <v>0</v>
      </c>
      <c r="CC32" s="28">
        <v>0</v>
      </c>
      <c r="CD32" s="23">
        <v>0</v>
      </c>
      <c r="CE32" s="24">
        <v>0</v>
      </c>
    </row>
    <row r="33" spans="1:83" x14ac:dyDescent="0.35">
      <c r="A33" s="12">
        <v>2</v>
      </c>
      <c r="B33" s="18">
        <v>81</v>
      </c>
      <c r="C33" s="12" t="str">
        <v>Oscar Piastri</v>
      </c>
      <c r="D33" s="18" t="str">
        <v>McLaren</v>
      </c>
      <c r="E33" s="2">
        <v>5.827</v>
      </c>
      <c r="F33" s="21">
        <v>0</v>
      </c>
      <c r="G33" s="23">
        <v>0</v>
      </c>
      <c r="H33" s="24">
        <v>0</v>
      </c>
      <c r="I33" s="28">
        <v>0</v>
      </c>
      <c r="J33" s="23">
        <v>0</v>
      </c>
      <c r="K33" s="23">
        <v>0</v>
      </c>
      <c r="L33" s="23">
        <v>0</v>
      </c>
      <c r="M33" s="24">
        <v>0</v>
      </c>
      <c r="N33" s="28">
        <v>0</v>
      </c>
      <c r="O33" s="23">
        <v>0</v>
      </c>
      <c r="P33" s="24">
        <v>0</v>
      </c>
      <c r="Q33" s="28">
        <v>0</v>
      </c>
      <c r="R33" s="23">
        <v>0</v>
      </c>
      <c r="S33" s="23">
        <v>0</v>
      </c>
      <c r="T33" s="23">
        <v>0</v>
      </c>
      <c r="U33" s="24">
        <v>0</v>
      </c>
      <c r="V33" s="28">
        <v>8.5</v>
      </c>
      <c r="W33" s="23">
        <v>7.6</v>
      </c>
      <c r="X33" s="23">
        <v>8.25</v>
      </c>
      <c r="Y33" s="23">
        <v>2</v>
      </c>
      <c r="Z33" s="24">
        <v>5.827</v>
      </c>
      <c r="AA33" s="28">
        <v>0</v>
      </c>
      <c r="AB33" s="23">
        <v>0</v>
      </c>
      <c r="AC33" s="24">
        <v>0</v>
      </c>
      <c r="AD33" s="28">
        <v>0</v>
      </c>
      <c r="AE33" s="23">
        <v>0</v>
      </c>
      <c r="AF33" s="24">
        <v>0</v>
      </c>
      <c r="AG33" s="28">
        <v>0</v>
      </c>
      <c r="AH33" s="23">
        <v>0</v>
      </c>
      <c r="AI33" s="24">
        <v>0</v>
      </c>
      <c r="AJ33" s="28">
        <v>0</v>
      </c>
      <c r="AK33" s="23">
        <v>0</v>
      </c>
      <c r="AL33" s="23">
        <v>0</v>
      </c>
      <c r="AM33" s="23">
        <v>0</v>
      </c>
      <c r="AN33" s="24">
        <v>0</v>
      </c>
      <c r="AO33" s="28">
        <v>0</v>
      </c>
      <c r="AP33" s="23">
        <v>0</v>
      </c>
      <c r="AQ33" s="24">
        <v>0</v>
      </c>
      <c r="AR33" s="28">
        <v>0</v>
      </c>
      <c r="AS33" s="23">
        <v>0</v>
      </c>
      <c r="AT33" s="24">
        <v>0</v>
      </c>
      <c r="AU33" s="28">
        <v>0</v>
      </c>
      <c r="AV33" s="23">
        <v>0</v>
      </c>
      <c r="AW33" s="23">
        <v>0</v>
      </c>
      <c r="AX33" s="23">
        <v>0</v>
      </c>
      <c r="AY33" s="24">
        <v>0</v>
      </c>
      <c r="AZ33" s="28">
        <v>0</v>
      </c>
      <c r="BA33" s="23">
        <v>0</v>
      </c>
      <c r="BB33" s="24">
        <v>0</v>
      </c>
      <c r="BC33" s="28">
        <v>0</v>
      </c>
      <c r="BD33" s="23">
        <v>0</v>
      </c>
      <c r="BE33" s="24">
        <v>0</v>
      </c>
      <c r="BF33" s="28">
        <v>0</v>
      </c>
      <c r="BG33" s="23">
        <v>0</v>
      </c>
      <c r="BH33" s="24">
        <v>0</v>
      </c>
      <c r="BI33" s="28">
        <v>0</v>
      </c>
      <c r="BJ33" s="23">
        <v>0</v>
      </c>
      <c r="BK33" s="23">
        <v>0</v>
      </c>
      <c r="BL33" s="23">
        <v>0</v>
      </c>
      <c r="BM33" s="24">
        <v>0</v>
      </c>
      <c r="BN33" s="28">
        <v>0</v>
      </c>
      <c r="BO33" s="23">
        <v>0</v>
      </c>
      <c r="BP33" s="24">
        <v>0</v>
      </c>
      <c r="BQ33" s="28">
        <v>0</v>
      </c>
      <c r="BR33" s="23">
        <v>0</v>
      </c>
      <c r="BS33" s="24">
        <v>0</v>
      </c>
      <c r="BT33" s="28">
        <v>0</v>
      </c>
      <c r="BU33" s="23">
        <v>0</v>
      </c>
      <c r="BV33" s="24">
        <v>0</v>
      </c>
      <c r="BW33" s="28">
        <v>0</v>
      </c>
      <c r="BX33" s="23">
        <v>0</v>
      </c>
      <c r="BY33" s="24">
        <v>0</v>
      </c>
      <c r="BZ33" s="28">
        <v>0</v>
      </c>
      <c r="CA33" s="23">
        <v>0</v>
      </c>
      <c r="CB33" s="24">
        <v>0</v>
      </c>
      <c r="CC33" s="28">
        <v>0</v>
      </c>
      <c r="CD33" s="23">
        <v>0</v>
      </c>
      <c r="CE33" s="24">
        <v>0</v>
      </c>
    </row>
    <row r="34" spans="1:83" x14ac:dyDescent="0.35">
      <c r="A34" s="12">
        <v>3</v>
      </c>
      <c r="B34" s="1">
        <v>63</v>
      </c>
      <c r="C34" s="12" t="str">
        <v>George Russell</v>
      </c>
      <c r="D34" s="1" t="str">
        <v>Mercedes</v>
      </c>
      <c r="E34" s="2">
        <v>0</v>
      </c>
      <c r="F34" s="21">
        <v>0</v>
      </c>
      <c r="G34" s="23">
        <v>0</v>
      </c>
      <c r="H34" s="24">
        <v>0</v>
      </c>
      <c r="I34" s="28">
        <v>0</v>
      </c>
      <c r="J34" s="23">
        <v>0</v>
      </c>
      <c r="K34" s="23">
        <v>0</v>
      </c>
      <c r="L34" s="23">
        <v>0</v>
      </c>
      <c r="M34" s="24">
        <v>0</v>
      </c>
      <c r="N34" s="28">
        <v>0</v>
      </c>
      <c r="O34" s="23">
        <v>0</v>
      </c>
      <c r="P34" s="24">
        <v>0</v>
      </c>
      <c r="Q34" s="28">
        <v>0</v>
      </c>
      <c r="R34" s="23">
        <v>0</v>
      </c>
      <c r="S34" s="23">
        <v>0</v>
      </c>
      <c r="T34" s="23">
        <v>0</v>
      </c>
      <c r="U34" s="24">
        <v>0</v>
      </c>
      <c r="V34" s="28">
        <v>0</v>
      </c>
      <c r="W34" s="23">
        <v>0</v>
      </c>
      <c r="X34" s="23">
        <v>0</v>
      </c>
      <c r="Y34" s="23">
        <v>0</v>
      </c>
      <c r="Z34" s="24">
        <v>0</v>
      </c>
      <c r="AA34" s="28">
        <v>0</v>
      </c>
      <c r="AB34" s="23">
        <v>0</v>
      </c>
      <c r="AC34" s="24">
        <v>0</v>
      </c>
      <c r="AD34" s="28">
        <v>0</v>
      </c>
      <c r="AE34" s="23">
        <v>0</v>
      </c>
      <c r="AF34" s="24">
        <v>0</v>
      </c>
      <c r="AG34" s="28">
        <v>0</v>
      </c>
      <c r="AH34" s="23">
        <v>0</v>
      </c>
      <c r="AI34" s="24">
        <v>0</v>
      </c>
      <c r="AJ34" s="28">
        <v>0</v>
      </c>
      <c r="AK34" s="23">
        <v>0</v>
      </c>
      <c r="AL34" s="23">
        <v>0</v>
      </c>
      <c r="AM34" s="23">
        <v>0</v>
      </c>
      <c r="AN34" s="24">
        <v>0</v>
      </c>
      <c r="AO34" s="28">
        <v>0</v>
      </c>
      <c r="AP34" s="23">
        <v>0</v>
      </c>
      <c r="AQ34" s="24">
        <v>0</v>
      </c>
      <c r="AR34" s="28">
        <v>0</v>
      </c>
      <c r="AS34" s="23">
        <v>0</v>
      </c>
      <c r="AT34" s="24">
        <v>0</v>
      </c>
      <c r="AU34" s="28">
        <v>0</v>
      </c>
      <c r="AV34" s="23">
        <v>0</v>
      </c>
      <c r="AW34" s="23">
        <v>0</v>
      </c>
      <c r="AX34" s="23">
        <v>0</v>
      </c>
      <c r="AY34" s="24">
        <v>0</v>
      </c>
      <c r="AZ34" s="28">
        <v>0</v>
      </c>
      <c r="BA34" s="23">
        <v>0</v>
      </c>
      <c r="BB34" s="24">
        <v>0</v>
      </c>
      <c r="BC34" s="28">
        <v>0</v>
      </c>
      <c r="BD34" s="23">
        <v>0</v>
      </c>
      <c r="BE34" s="24">
        <v>0</v>
      </c>
      <c r="BF34" s="28">
        <v>0</v>
      </c>
      <c r="BG34" s="23">
        <v>0</v>
      </c>
      <c r="BH34" s="24">
        <v>0</v>
      </c>
      <c r="BI34" s="28">
        <v>0</v>
      </c>
      <c r="BJ34" s="23">
        <v>0</v>
      </c>
      <c r="BK34" s="23">
        <v>0</v>
      </c>
      <c r="BL34" s="23">
        <v>0</v>
      </c>
      <c r="BM34" s="24">
        <v>0</v>
      </c>
      <c r="BN34" s="28">
        <v>0</v>
      </c>
      <c r="BO34" s="23">
        <v>0</v>
      </c>
      <c r="BP34" s="24">
        <v>0</v>
      </c>
      <c r="BQ34" s="28">
        <v>0</v>
      </c>
      <c r="BR34" s="23">
        <v>0</v>
      </c>
      <c r="BS34" s="24">
        <v>0</v>
      </c>
      <c r="BT34" s="28">
        <v>0</v>
      </c>
      <c r="BU34" s="23">
        <v>0</v>
      </c>
      <c r="BV34" s="24">
        <v>0</v>
      </c>
      <c r="BW34" s="28">
        <v>0</v>
      </c>
      <c r="BX34" s="23">
        <v>0</v>
      </c>
      <c r="BY34" s="24">
        <v>0</v>
      </c>
      <c r="BZ34" s="28">
        <v>0</v>
      </c>
      <c r="CA34" s="23">
        <v>0</v>
      </c>
      <c r="CB34" s="24">
        <v>0</v>
      </c>
      <c r="CC34" s="28">
        <v>0</v>
      </c>
      <c r="CD34" s="23">
        <v>0</v>
      </c>
      <c r="CE34" s="24">
        <v>0</v>
      </c>
    </row>
    <row r="35" spans="1:83" x14ac:dyDescent="0.35">
      <c r="A35" s="12">
        <v>4</v>
      </c>
      <c r="B35" s="1">
        <v>12</v>
      </c>
      <c r="C35" s="12" t="str">
        <v>Kimi Antonelli</v>
      </c>
      <c r="D35" s="1" t="str">
        <v>Mercedes</v>
      </c>
      <c r="E35" s="2">
        <v>0</v>
      </c>
      <c r="F35" s="21">
        <v>0</v>
      </c>
      <c r="G35" s="23">
        <v>0</v>
      </c>
      <c r="H35" s="24">
        <v>0</v>
      </c>
      <c r="I35" s="28">
        <v>0</v>
      </c>
      <c r="J35" s="23">
        <v>0</v>
      </c>
      <c r="K35" s="23">
        <v>0</v>
      </c>
      <c r="L35" s="23">
        <v>0</v>
      </c>
      <c r="M35" s="24">
        <v>0</v>
      </c>
      <c r="N35" s="28">
        <v>0</v>
      </c>
      <c r="O35" s="23">
        <v>0</v>
      </c>
      <c r="P35" s="24">
        <v>0</v>
      </c>
      <c r="Q35" s="28">
        <v>0</v>
      </c>
      <c r="R35" s="23">
        <v>0</v>
      </c>
      <c r="S35" s="23">
        <v>0</v>
      </c>
      <c r="T35" s="23">
        <v>0</v>
      </c>
      <c r="U35" s="24">
        <v>0</v>
      </c>
      <c r="V35" s="28">
        <v>0</v>
      </c>
      <c r="W35" s="23">
        <v>0</v>
      </c>
      <c r="X35" s="23">
        <v>0</v>
      </c>
      <c r="Y35" s="23">
        <v>0</v>
      </c>
      <c r="Z35" s="24">
        <v>0</v>
      </c>
      <c r="AA35" s="28">
        <v>0</v>
      </c>
      <c r="AB35" s="23">
        <v>0</v>
      </c>
      <c r="AC35" s="24">
        <v>0</v>
      </c>
      <c r="AD35" s="28">
        <v>0</v>
      </c>
      <c r="AE35" s="23">
        <v>0</v>
      </c>
      <c r="AF35" s="24">
        <v>0</v>
      </c>
      <c r="AG35" s="28">
        <v>0</v>
      </c>
      <c r="AH35" s="23">
        <v>0</v>
      </c>
      <c r="AI35" s="24">
        <v>0</v>
      </c>
      <c r="AJ35" s="28">
        <v>0</v>
      </c>
      <c r="AK35" s="23">
        <v>0</v>
      </c>
      <c r="AL35" s="23">
        <v>0</v>
      </c>
      <c r="AM35" s="23">
        <v>0</v>
      </c>
      <c r="AN35" s="24">
        <v>0</v>
      </c>
      <c r="AO35" s="28">
        <v>0</v>
      </c>
      <c r="AP35" s="23">
        <v>0</v>
      </c>
      <c r="AQ35" s="24">
        <v>0</v>
      </c>
      <c r="AR35" s="28">
        <v>0</v>
      </c>
      <c r="AS35" s="23">
        <v>0</v>
      </c>
      <c r="AT35" s="24">
        <v>0</v>
      </c>
      <c r="AU35" s="28">
        <v>0</v>
      </c>
      <c r="AV35" s="23">
        <v>0</v>
      </c>
      <c r="AW35" s="23">
        <v>0</v>
      </c>
      <c r="AX35" s="23">
        <v>0</v>
      </c>
      <c r="AY35" s="24">
        <v>0</v>
      </c>
      <c r="AZ35" s="28">
        <v>0</v>
      </c>
      <c r="BA35" s="23">
        <v>0</v>
      </c>
      <c r="BB35" s="24">
        <v>0</v>
      </c>
      <c r="BC35" s="28">
        <v>0</v>
      </c>
      <c r="BD35" s="23">
        <v>0</v>
      </c>
      <c r="BE35" s="24">
        <v>0</v>
      </c>
      <c r="BF35" s="28">
        <v>0</v>
      </c>
      <c r="BG35" s="23">
        <v>0</v>
      </c>
      <c r="BH35" s="24">
        <v>0</v>
      </c>
      <c r="BI35" s="28">
        <v>0</v>
      </c>
      <c r="BJ35" s="23">
        <v>0</v>
      </c>
      <c r="BK35" s="23">
        <v>0</v>
      </c>
      <c r="BL35" s="23">
        <v>0</v>
      </c>
      <c r="BM35" s="24">
        <v>0</v>
      </c>
      <c r="BN35" s="28">
        <v>0</v>
      </c>
      <c r="BO35" s="23">
        <v>0</v>
      </c>
      <c r="BP35" s="24">
        <v>0</v>
      </c>
      <c r="BQ35" s="28">
        <v>0</v>
      </c>
      <c r="BR35" s="23">
        <v>0</v>
      </c>
      <c r="BS35" s="24">
        <v>0</v>
      </c>
      <c r="BT35" s="28">
        <v>0</v>
      </c>
      <c r="BU35" s="23">
        <v>0</v>
      </c>
      <c r="BV35" s="24">
        <v>0</v>
      </c>
      <c r="BW35" s="28">
        <v>0</v>
      </c>
      <c r="BX35" s="23">
        <v>0</v>
      </c>
      <c r="BY35" s="24">
        <v>0</v>
      </c>
      <c r="BZ35" s="28">
        <v>0</v>
      </c>
      <c r="CA35" s="23">
        <v>0</v>
      </c>
      <c r="CB35" s="24">
        <v>0</v>
      </c>
      <c r="CC35" s="28">
        <v>0</v>
      </c>
      <c r="CD35" s="23">
        <v>0</v>
      </c>
      <c r="CE35" s="24">
        <v>0</v>
      </c>
    </row>
    <row r="36" spans="1:83" x14ac:dyDescent="0.35">
      <c r="A36" s="12">
        <v>5</v>
      </c>
      <c r="B36" s="3">
        <v>16</v>
      </c>
      <c r="C36" s="12" t="str">
        <v>Charles Leclerc</v>
      </c>
      <c r="D36" s="3" t="str">
        <v>Ferrari</v>
      </c>
      <c r="E36" s="2">
        <v>0</v>
      </c>
      <c r="F36" s="21">
        <v>0</v>
      </c>
      <c r="G36" s="23">
        <v>0</v>
      </c>
      <c r="H36" s="24">
        <v>0</v>
      </c>
      <c r="I36" s="28">
        <v>0</v>
      </c>
      <c r="J36" s="23">
        <v>0</v>
      </c>
      <c r="K36" s="23">
        <v>0</v>
      </c>
      <c r="L36" s="23">
        <v>0</v>
      </c>
      <c r="M36" s="24">
        <v>0</v>
      </c>
      <c r="N36" s="28">
        <v>0</v>
      </c>
      <c r="O36" s="23">
        <v>0</v>
      </c>
      <c r="P36" s="24">
        <v>0</v>
      </c>
      <c r="Q36" s="28">
        <v>0</v>
      </c>
      <c r="R36" s="23">
        <v>0</v>
      </c>
      <c r="S36" s="23">
        <v>0</v>
      </c>
      <c r="T36" s="23">
        <v>0</v>
      </c>
      <c r="U36" s="24">
        <v>0</v>
      </c>
      <c r="V36" s="28">
        <v>0</v>
      </c>
      <c r="W36" s="23">
        <v>0</v>
      </c>
      <c r="X36" s="23">
        <v>0</v>
      </c>
      <c r="Y36" s="23">
        <v>0</v>
      </c>
      <c r="Z36" s="24">
        <v>0</v>
      </c>
      <c r="AA36" s="28">
        <v>0</v>
      </c>
      <c r="AB36" s="23">
        <v>0</v>
      </c>
      <c r="AC36" s="24">
        <v>0</v>
      </c>
      <c r="AD36" s="28">
        <v>0</v>
      </c>
      <c r="AE36" s="23">
        <v>0</v>
      </c>
      <c r="AF36" s="24">
        <v>0</v>
      </c>
      <c r="AG36" s="28">
        <v>0</v>
      </c>
      <c r="AH36" s="23">
        <v>0</v>
      </c>
      <c r="AI36" s="24">
        <v>0</v>
      </c>
      <c r="AJ36" s="28">
        <v>0</v>
      </c>
      <c r="AK36" s="23">
        <v>0</v>
      </c>
      <c r="AL36" s="23">
        <v>0</v>
      </c>
      <c r="AM36" s="23">
        <v>0</v>
      </c>
      <c r="AN36" s="24">
        <v>0</v>
      </c>
      <c r="AO36" s="28">
        <v>0</v>
      </c>
      <c r="AP36" s="23">
        <v>0</v>
      </c>
      <c r="AQ36" s="24">
        <v>0</v>
      </c>
      <c r="AR36" s="28">
        <v>0</v>
      </c>
      <c r="AS36" s="23">
        <v>0</v>
      </c>
      <c r="AT36" s="24">
        <v>0</v>
      </c>
      <c r="AU36" s="28">
        <v>0</v>
      </c>
      <c r="AV36" s="23">
        <v>0</v>
      </c>
      <c r="AW36" s="23">
        <v>0</v>
      </c>
      <c r="AX36" s="23">
        <v>0</v>
      </c>
      <c r="AY36" s="24">
        <v>0</v>
      </c>
      <c r="AZ36" s="28">
        <v>0</v>
      </c>
      <c r="BA36" s="23">
        <v>0</v>
      </c>
      <c r="BB36" s="24">
        <v>0</v>
      </c>
      <c r="BC36" s="28">
        <v>0</v>
      </c>
      <c r="BD36" s="23">
        <v>0</v>
      </c>
      <c r="BE36" s="24">
        <v>0</v>
      </c>
      <c r="BF36" s="28">
        <v>0</v>
      </c>
      <c r="BG36" s="23">
        <v>0</v>
      </c>
      <c r="BH36" s="24">
        <v>0</v>
      </c>
      <c r="BI36" s="28">
        <v>0</v>
      </c>
      <c r="BJ36" s="23">
        <v>0</v>
      </c>
      <c r="BK36" s="23">
        <v>0</v>
      </c>
      <c r="BL36" s="23">
        <v>0</v>
      </c>
      <c r="BM36" s="24">
        <v>0</v>
      </c>
      <c r="BN36" s="28">
        <v>0</v>
      </c>
      <c r="BO36" s="23">
        <v>0</v>
      </c>
      <c r="BP36" s="24">
        <v>0</v>
      </c>
      <c r="BQ36" s="28">
        <v>0</v>
      </c>
      <c r="BR36" s="23">
        <v>0</v>
      </c>
      <c r="BS36" s="24">
        <v>0</v>
      </c>
      <c r="BT36" s="28">
        <v>0</v>
      </c>
      <c r="BU36" s="23">
        <v>0</v>
      </c>
      <c r="BV36" s="24">
        <v>0</v>
      </c>
      <c r="BW36" s="28">
        <v>0</v>
      </c>
      <c r="BX36" s="23">
        <v>0</v>
      </c>
      <c r="BY36" s="24">
        <v>0</v>
      </c>
      <c r="BZ36" s="28">
        <v>0</v>
      </c>
      <c r="CA36" s="23">
        <v>0</v>
      </c>
      <c r="CB36" s="24">
        <v>0</v>
      </c>
      <c r="CC36" s="28">
        <v>0</v>
      </c>
      <c r="CD36" s="23">
        <v>0</v>
      </c>
      <c r="CE36" s="24">
        <v>0</v>
      </c>
    </row>
    <row r="37" spans="1:83" x14ac:dyDescent="0.35">
      <c r="A37" s="12">
        <v>6</v>
      </c>
      <c r="B37" s="3">
        <v>44</v>
      </c>
      <c r="C37" s="12" t="str">
        <v>Lewis Hamilton</v>
      </c>
      <c r="D37" s="3" t="str">
        <v>Ferrari</v>
      </c>
      <c r="E37" s="2">
        <v>0</v>
      </c>
      <c r="F37" s="21">
        <v>0</v>
      </c>
      <c r="G37" s="23">
        <v>0</v>
      </c>
      <c r="H37" s="24">
        <v>0</v>
      </c>
      <c r="I37" s="28">
        <v>0</v>
      </c>
      <c r="J37" s="23">
        <v>0</v>
      </c>
      <c r="K37" s="23">
        <v>0</v>
      </c>
      <c r="L37" s="23">
        <v>0</v>
      </c>
      <c r="M37" s="24">
        <v>0</v>
      </c>
      <c r="N37" s="28">
        <v>0</v>
      </c>
      <c r="O37" s="23">
        <v>0</v>
      </c>
      <c r="P37" s="24">
        <v>0</v>
      </c>
      <c r="Q37" s="28">
        <v>0</v>
      </c>
      <c r="R37" s="23">
        <v>0</v>
      </c>
      <c r="S37" s="23">
        <v>0</v>
      </c>
      <c r="T37" s="23">
        <v>0</v>
      </c>
      <c r="U37" s="24">
        <v>0</v>
      </c>
      <c r="V37" s="28">
        <v>0</v>
      </c>
      <c r="W37" s="23">
        <v>0</v>
      </c>
      <c r="X37" s="23">
        <v>0</v>
      </c>
      <c r="Y37" s="23">
        <v>0</v>
      </c>
      <c r="Z37" s="24">
        <v>0</v>
      </c>
      <c r="AA37" s="28">
        <v>0</v>
      </c>
      <c r="AB37" s="23">
        <v>0</v>
      </c>
      <c r="AC37" s="24">
        <v>0</v>
      </c>
      <c r="AD37" s="28">
        <v>0</v>
      </c>
      <c r="AE37" s="23">
        <v>0</v>
      </c>
      <c r="AF37" s="24">
        <v>0</v>
      </c>
      <c r="AG37" s="28">
        <v>0</v>
      </c>
      <c r="AH37" s="23">
        <v>0</v>
      </c>
      <c r="AI37" s="24">
        <v>0</v>
      </c>
      <c r="AJ37" s="28">
        <v>0</v>
      </c>
      <c r="AK37" s="23">
        <v>0</v>
      </c>
      <c r="AL37" s="23">
        <v>0</v>
      </c>
      <c r="AM37" s="23">
        <v>0</v>
      </c>
      <c r="AN37" s="24">
        <v>0</v>
      </c>
      <c r="AO37" s="28">
        <v>0</v>
      </c>
      <c r="AP37" s="23">
        <v>0</v>
      </c>
      <c r="AQ37" s="24">
        <v>0</v>
      </c>
      <c r="AR37" s="28">
        <v>0</v>
      </c>
      <c r="AS37" s="23">
        <v>0</v>
      </c>
      <c r="AT37" s="24">
        <v>0</v>
      </c>
      <c r="AU37" s="28">
        <v>0</v>
      </c>
      <c r="AV37" s="23">
        <v>0</v>
      </c>
      <c r="AW37" s="23">
        <v>0</v>
      </c>
      <c r="AX37" s="23">
        <v>0</v>
      </c>
      <c r="AY37" s="24">
        <v>0</v>
      </c>
      <c r="AZ37" s="28">
        <v>0</v>
      </c>
      <c r="BA37" s="23">
        <v>0</v>
      </c>
      <c r="BB37" s="24">
        <v>0</v>
      </c>
      <c r="BC37" s="28">
        <v>0</v>
      </c>
      <c r="BD37" s="23">
        <v>0</v>
      </c>
      <c r="BE37" s="24">
        <v>0</v>
      </c>
      <c r="BF37" s="28">
        <v>0</v>
      </c>
      <c r="BG37" s="23">
        <v>0</v>
      </c>
      <c r="BH37" s="24">
        <v>0</v>
      </c>
      <c r="BI37" s="28">
        <v>0</v>
      </c>
      <c r="BJ37" s="23">
        <v>0</v>
      </c>
      <c r="BK37" s="23">
        <v>0</v>
      </c>
      <c r="BL37" s="23">
        <v>0</v>
      </c>
      <c r="BM37" s="24">
        <v>0</v>
      </c>
      <c r="BN37" s="28">
        <v>0</v>
      </c>
      <c r="BO37" s="23">
        <v>0</v>
      </c>
      <c r="BP37" s="24">
        <v>0</v>
      </c>
      <c r="BQ37" s="28">
        <v>0</v>
      </c>
      <c r="BR37" s="23">
        <v>0</v>
      </c>
      <c r="BS37" s="24">
        <v>0</v>
      </c>
      <c r="BT37" s="28">
        <v>0</v>
      </c>
      <c r="BU37" s="23">
        <v>0</v>
      </c>
      <c r="BV37" s="24">
        <v>0</v>
      </c>
      <c r="BW37" s="28">
        <v>0</v>
      </c>
      <c r="BX37" s="23">
        <v>0</v>
      </c>
      <c r="BY37" s="24">
        <v>0</v>
      </c>
      <c r="BZ37" s="28">
        <v>0</v>
      </c>
      <c r="CA37" s="23">
        <v>0</v>
      </c>
      <c r="CB37" s="24">
        <v>0</v>
      </c>
      <c r="CC37" s="28">
        <v>0</v>
      </c>
      <c r="CD37" s="23">
        <v>0</v>
      </c>
      <c r="CE37" s="24">
        <v>0</v>
      </c>
    </row>
    <row r="38" spans="1:83" x14ac:dyDescent="0.35">
      <c r="A38" s="12">
        <v>7</v>
      </c>
      <c r="B38" s="4">
        <v>3</v>
      </c>
      <c r="C38" s="12" t="str">
        <v>Max Verstappen</v>
      </c>
      <c r="D38" s="4" t="str">
        <v>Red Bull</v>
      </c>
      <c r="E38" s="2">
        <v>0</v>
      </c>
      <c r="F38" s="21">
        <v>0</v>
      </c>
      <c r="G38" s="23">
        <v>0</v>
      </c>
      <c r="H38" s="24">
        <v>0</v>
      </c>
      <c r="I38" s="28">
        <v>0</v>
      </c>
      <c r="J38" s="23">
        <v>0</v>
      </c>
      <c r="K38" s="23">
        <v>0</v>
      </c>
      <c r="L38" s="23">
        <v>0</v>
      </c>
      <c r="M38" s="24">
        <v>0</v>
      </c>
      <c r="N38" s="28">
        <v>0</v>
      </c>
      <c r="O38" s="23">
        <v>0</v>
      </c>
      <c r="P38" s="24">
        <v>0</v>
      </c>
      <c r="Q38" s="28">
        <v>0</v>
      </c>
      <c r="R38" s="23">
        <v>0</v>
      </c>
      <c r="S38" s="23">
        <v>0</v>
      </c>
      <c r="T38" s="23">
        <v>0</v>
      </c>
      <c r="U38" s="24">
        <v>0</v>
      </c>
      <c r="V38" s="28">
        <v>0</v>
      </c>
      <c r="W38" s="23">
        <v>0</v>
      </c>
      <c r="X38" s="23">
        <v>0</v>
      </c>
      <c r="Y38" s="23">
        <v>0</v>
      </c>
      <c r="Z38" s="24">
        <v>0</v>
      </c>
      <c r="AA38" s="28">
        <v>0</v>
      </c>
      <c r="AB38" s="23">
        <v>0</v>
      </c>
      <c r="AC38" s="24">
        <v>0</v>
      </c>
      <c r="AD38" s="28">
        <v>0</v>
      </c>
      <c r="AE38" s="23">
        <v>0</v>
      </c>
      <c r="AF38" s="24">
        <v>0</v>
      </c>
      <c r="AG38" s="28">
        <v>0</v>
      </c>
      <c r="AH38" s="23">
        <v>0</v>
      </c>
      <c r="AI38" s="24">
        <v>0</v>
      </c>
      <c r="AJ38" s="28">
        <v>0</v>
      </c>
      <c r="AK38" s="23">
        <v>0</v>
      </c>
      <c r="AL38" s="23">
        <v>0</v>
      </c>
      <c r="AM38" s="23">
        <v>0</v>
      </c>
      <c r="AN38" s="24">
        <v>0</v>
      </c>
      <c r="AO38" s="28">
        <v>0</v>
      </c>
      <c r="AP38" s="23">
        <v>0</v>
      </c>
      <c r="AQ38" s="24">
        <v>0</v>
      </c>
      <c r="AR38" s="28">
        <v>0</v>
      </c>
      <c r="AS38" s="23">
        <v>0</v>
      </c>
      <c r="AT38" s="24">
        <v>0</v>
      </c>
      <c r="AU38" s="28">
        <v>0</v>
      </c>
      <c r="AV38" s="23">
        <v>0</v>
      </c>
      <c r="AW38" s="23">
        <v>0</v>
      </c>
      <c r="AX38" s="23">
        <v>0</v>
      </c>
      <c r="AY38" s="24">
        <v>0</v>
      </c>
      <c r="AZ38" s="28">
        <v>0</v>
      </c>
      <c r="BA38" s="23">
        <v>0</v>
      </c>
      <c r="BB38" s="24">
        <v>0</v>
      </c>
      <c r="BC38" s="28">
        <v>0</v>
      </c>
      <c r="BD38" s="23">
        <v>0</v>
      </c>
      <c r="BE38" s="24">
        <v>0</v>
      </c>
      <c r="BF38" s="28">
        <v>0</v>
      </c>
      <c r="BG38" s="23">
        <v>0</v>
      </c>
      <c r="BH38" s="24">
        <v>0</v>
      </c>
      <c r="BI38" s="28">
        <v>0</v>
      </c>
      <c r="BJ38" s="23">
        <v>0</v>
      </c>
      <c r="BK38" s="23">
        <v>0</v>
      </c>
      <c r="BL38" s="23">
        <v>0</v>
      </c>
      <c r="BM38" s="24">
        <v>0</v>
      </c>
      <c r="BN38" s="28">
        <v>0</v>
      </c>
      <c r="BO38" s="23">
        <v>0</v>
      </c>
      <c r="BP38" s="24">
        <v>0</v>
      </c>
      <c r="BQ38" s="28">
        <v>0</v>
      </c>
      <c r="BR38" s="23">
        <v>0</v>
      </c>
      <c r="BS38" s="24">
        <v>0</v>
      </c>
      <c r="BT38" s="28">
        <v>0</v>
      </c>
      <c r="BU38" s="23">
        <v>0</v>
      </c>
      <c r="BV38" s="24">
        <v>0</v>
      </c>
      <c r="BW38" s="28">
        <v>0</v>
      </c>
      <c r="BX38" s="23">
        <v>0</v>
      </c>
      <c r="BY38" s="24">
        <v>0</v>
      </c>
      <c r="BZ38" s="28">
        <v>0</v>
      </c>
      <c r="CA38" s="23">
        <v>0</v>
      </c>
      <c r="CB38" s="24">
        <v>0</v>
      </c>
      <c r="CC38" s="28">
        <v>0</v>
      </c>
      <c r="CD38" s="23">
        <v>0</v>
      </c>
      <c r="CE38" s="24">
        <v>0</v>
      </c>
    </row>
    <row r="39" spans="1:83" x14ac:dyDescent="0.35">
      <c r="A39" s="12">
        <v>8</v>
      </c>
      <c r="B39" s="4">
        <v>6</v>
      </c>
      <c r="C39" s="12" t="str">
        <v>Isack Hadjar</v>
      </c>
      <c r="D39" s="4" t="str">
        <v>Red Bull</v>
      </c>
      <c r="E39" s="2">
        <v>0</v>
      </c>
      <c r="F39" s="21">
        <v>0</v>
      </c>
      <c r="G39" s="23">
        <v>0</v>
      </c>
      <c r="H39" s="24">
        <v>0</v>
      </c>
      <c r="I39" s="28">
        <v>0</v>
      </c>
      <c r="J39" s="23">
        <v>0</v>
      </c>
      <c r="K39" s="23">
        <v>0</v>
      </c>
      <c r="L39" s="23">
        <v>0</v>
      </c>
      <c r="M39" s="24">
        <v>0</v>
      </c>
      <c r="N39" s="28">
        <v>0</v>
      </c>
      <c r="O39" s="23">
        <v>0</v>
      </c>
      <c r="P39" s="24">
        <v>0</v>
      </c>
      <c r="Q39" s="28">
        <v>0</v>
      </c>
      <c r="R39" s="23">
        <v>0</v>
      </c>
      <c r="S39" s="23">
        <v>0</v>
      </c>
      <c r="T39" s="23">
        <v>0</v>
      </c>
      <c r="U39" s="24">
        <v>0</v>
      </c>
      <c r="V39" s="28">
        <v>0</v>
      </c>
      <c r="W39" s="23">
        <v>0</v>
      </c>
      <c r="X39" s="23">
        <v>0</v>
      </c>
      <c r="Y39" s="23">
        <v>0</v>
      </c>
      <c r="Z39" s="24">
        <v>0</v>
      </c>
      <c r="AA39" s="28">
        <v>0</v>
      </c>
      <c r="AB39" s="23">
        <v>0</v>
      </c>
      <c r="AC39" s="24">
        <v>0</v>
      </c>
      <c r="AD39" s="28">
        <v>0</v>
      </c>
      <c r="AE39" s="23">
        <v>0</v>
      </c>
      <c r="AF39" s="24">
        <v>0</v>
      </c>
      <c r="AG39" s="28">
        <v>0</v>
      </c>
      <c r="AH39" s="23">
        <v>0</v>
      </c>
      <c r="AI39" s="24">
        <v>0</v>
      </c>
      <c r="AJ39" s="28">
        <v>0</v>
      </c>
      <c r="AK39" s="23">
        <v>0</v>
      </c>
      <c r="AL39" s="23">
        <v>0</v>
      </c>
      <c r="AM39" s="23">
        <v>0</v>
      </c>
      <c r="AN39" s="24">
        <v>0</v>
      </c>
      <c r="AO39" s="28">
        <v>0</v>
      </c>
      <c r="AP39" s="23">
        <v>0</v>
      </c>
      <c r="AQ39" s="24">
        <v>0</v>
      </c>
      <c r="AR39" s="28">
        <v>0</v>
      </c>
      <c r="AS39" s="23">
        <v>0</v>
      </c>
      <c r="AT39" s="24">
        <v>0</v>
      </c>
      <c r="AU39" s="28">
        <v>0</v>
      </c>
      <c r="AV39" s="23">
        <v>0</v>
      </c>
      <c r="AW39" s="23">
        <v>0</v>
      </c>
      <c r="AX39" s="23">
        <v>0</v>
      </c>
      <c r="AY39" s="24">
        <v>0</v>
      </c>
      <c r="AZ39" s="28">
        <v>0</v>
      </c>
      <c r="BA39" s="23">
        <v>0</v>
      </c>
      <c r="BB39" s="24">
        <v>0</v>
      </c>
      <c r="BC39" s="28">
        <v>0</v>
      </c>
      <c r="BD39" s="23">
        <v>0</v>
      </c>
      <c r="BE39" s="24">
        <v>0</v>
      </c>
      <c r="BF39" s="28">
        <v>0</v>
      </c>
      <c r="BG39" s="23">
        <v>0</v>
      </c>
      <c r="BH39" s="24">
        <v>0</v>
      </c>
      <c r="BI39" s="28">
        <v>0</v>
      </c>
      <c r="BJ39" s="23">
        <v>0</v>
      </c>
      <c r="BK39" s="23">
        <v>0</v>
      </c>
      <c r="BL39" s="23">
        <v>0</v>
      </c>
      <c r="BM39" s="24">
        <v>0</v>
      </c>
      <c r="BN39" s="28">
        <v>0</v>
      </c>
      <c r="BO39" s="23">
        <v>0</v>
      </c>
      <c r="BP39" s="24">
        <v>0</v>
      </c>
      <c r="BQ39" s="28">
        <v>0</v>
      </c>
      <c r="BR39" s="23">
        <v>0</v>
      </c>
      <c r="BS39" s="24">
        <v>0</v>
      </c>
      <c r="BT39" s="28">
        <v>0</v>
      </c>
      <c r="BU39" s="23">
        <v>0</v>
      </c>
      <c r="BV39" s="24">
        <v>0</v>
      </c>
      <c r="BW39" s="28">
        <v>0</v>
      </c>
      <c r="BX39" s="23">
        <v>0</v>
      </c>
      <c r="BY39" s="24">
        <v>0</v>
      </c>
      <c r="BZ39" s="28">
        <v>0</v>
      </c>
      <c r="CA39" s="23">
        <v>0</v>
      </c>
      <c r="CB39" s="24">
        <v>0</v>
      </c>
      <c r="CC39" s="28">
        <v>0</v>
      </c>
      <c r="CD39" s="23">
        <v>0</v>
      </c>
      <c r="CE39" s="24">
        <v>0</v>
      </c>
    </row>
    <row r="40" spans="1:83" x14ac:dyDescent="0.35">
      <c r="A40" s="12">
        <v>9</v>
      </c>
      <c r="B40" s="5">
        <v>10</v>
      </c>
      <c r="C40" s="12" t="str">
        <v>Pierre Gasly</v>
      </c>
      <c r="D40" s="5" t="str">
        <v>Alpine</v>
      </c>
      <c r="E40" s="2">
        <v>0</v>
      </c>
      <c r="F40" s="21">
        <v>0</v>
      </c>
      <c r="G40" s="23">
        <v>0</v>
      </c>
      <c r="H40" s="24">
        <v>0</v>
      </c>
      <c r="I40" s="28">
        <v>0</v>
      </c>
      <c r="J40" s="23">
        <v>0</v>
      </c>
      <c r="K40" s="23">
        <v>0</v>
      </c>
      <c r="L40" s="23">
        <v>0</v>
      </c>
      <c r="M40" s="24">
        <v>0</v>
      </c>
      <c r="N40" s="28">
        <v>0</v>
      </c>
      <c r="O40" s="23">
        <v>0</v>
      </c>
      <c r="P40" s="24">
        <v>0</v>
      </c>
      <c r="Q40" s="28">
        <v>0</v>
      </c>
      <c r="R40" s="23">
        <v>0</v>
      </c>
      <c r="S40" s="23">
        <v>0</v>
      </c>
      <c r="T40" s="23">
        <v>0</v>
      </c>
      <c r="U40" s="24">
        <v>0</v>
      </c>
      <c r="V40" s="28">
        <v>0</v>
      </c>
      <c r="W40" s="23">
        <v>0</v>
      </c>
      <c r="X40" s="23">
        <v>0</v>
      </c>
      <c r="Y40" s="23">
        <v>0</v>
      </c>
      <c r="Z40" s="24">
        <v>0</v>
      </c>
      <c r="AA40" s="28">
        <v>0</v>
      </c>
      <c r="AB40" s="23">
        <v>0</v>
      </c>
      <c r="AC40" s="24">
        <v>0</v>
      </c>
      <c r="AD40" s="28">
        <v>0</v>
      </c>
      <c r="AE40" s="23">
        <v>0</v>
      </c>
      <c r="AF40" s="24">
        <v>0</v>
      </c>
      <c r="AG40" s="28">
        <v>0</v>
      </c>
      <c r="AH40" s="23">
        <v>0</v>
      </c>
      <c r="AI40" s="24">
        <v>0</v>
      </c>
      <c r="AJ40" s="28">
        <v>0</v>
      </c>
      <c r="AK40" s="23">
        <v>0</v>
      </c>
      <c r="AL40" s="23">
        <v>0</v>
      </c>
      <c r="AM40" s="23">
        <v>0</v>
      </c>
      <c r="AN40" s="24">
        <v>0</v>
      </c>
      <c r="AO40" s="28">
        <v>0</v>
      </c>
      <c r="AP40" s="23">
        <v>0</v>
      </c>
      <c r="AQ40" s="24">
        <v>0</v>
      </c>
      <c r="AR40" s="28">
        <v>0</v>
      </c>
      <c r="AS40" s="23">
        <v>0</v>
      </c>
      <c r="AT40" s="24">
        <v>0</v>
      </c>
      <c r="AU40" s="28">
        <v>0</v>
      </c>
      <c r="AV40" s="23">
        <v>0</v>
      </c>
      <c r="AW40" s="23">
        <v>0</v>
      </c>
      <c r="AX40" s="23">
        <v>0</v>
      </c>
      <c r="AY40" s="24">
        <v>0</v>
      </c>
      <c r="AZ40" s="28">
        <v>0</v>
      </c>
      <c r="BA40" s="23">
        <v>0</v>
      </c>
      <c r="BB40" s="24">
        <v>0</v>
      </c>
      <c r="BC40" s="28">
        <v>0</v>
      </c>
      <c r="BD40" s="23">
        <v>0</v>
      </c>
      <c r="BE40" s="24">
        <v>0</v>
      </c>
      <c r="BF40" s="28">
        <v>0</v>
      </c>
      <c r="BG40" s="23">
        <v>0</v>
      </c>
      <c r="BH40" s="24">
        <v>0</v>
      </c>
      <c r="BI40" s="28">
        <v>0</v>
      </c>
      <c r="BJ40" s="23">
        <v>0</v>
      </c>
      <c r="BK40" s="23">
        <v>0</v>
      </c>
      <c r="BL40" s="23">
        <v>0</v>
      </c>
      <c r="BM40" s="24">
        <v>0</v>
      </c>
      <c r="BN40" s="28">
        <v>0</v>
      </c>
      <c r="BO40" s="23">
        <v>0</v>
      </c>
      <c r="BP40" s="24">
        <v>0</v>
      </c>
      <c r="BQ40" s="28">
        <v>0</v>
      </c>
      <c r="BR40" s="23">
        <v>0</v>
      </c>
      <c r="BS40" s="24">
        <v>0</v>
      </c>
      <c r="BT40" s="28">
        <v>0</v>
      </c>
      <c r="BU40" s="23">
        <v>0</v>
      </c>
      <c r="BV40" s="24">
        <v>0</v>
      </c>
      <c r="BW40" s="28">
        <v>0</v>
      </c>
      <c r="BX40" s="23">
        <v>0</v>
      </c>
      <c r="BY40" s="24">
        <v>0</v>
      </c>
      <c r="BZ40" s="28">
        <v>0</v>
      </c>
      <c r="CA40" s="23">
        <v>0</v>
      </c>
      <c r="CB40" s="24">
        <v>0</v>
      </c>
      <c r="CC40" s="28">
        <v>0</v>
      </c>
      <c r="CD40" s="23">
        <v>0</v>
      </c>
      <c r="CE40" s="24">
        <v>0</v>
      </c>
    </row>
    <row r="41" spans="1:83" x14ac:dyDescent="0.35">
      <c r="A41" s="12">
        <v>10</v>
      </c>
      <c r="B41" s="5">
        <v>43</v>
      </c>
      <c r="C41" s="12" t="str">
        <v>Franco Colapinto</v>
      </c>
      <c r="D41" s="5" t="str">
        <v>Alpine</v>
      </c>
      <c r="E41" s="2">
        <v>0</v>
      </c>
      <c r="F41" s="21">
        <v>0</v>
      </c>
      <c r="G41" s="23">
        <v>0</v>
      </c>
      <c r="H41" s="24">
        <v>0</v>
      </c>
      <c r="I41" s="28">
        <v>0</v>
      </c>
      <c r="J41" s="23">
        <v>0</v>
      </c>
      <c r="K41" s="23">
        <v>0</v>
      </c>
      <c r="L41" s="23">
        <v>0</v>
      </c>
      <c r="M41" s="24">
        <v>0</v>
      </c>
      <c r="N41" s="28">
        <v>0</v>
      </c>
      <c r="O41" s="23">
        <v>0</v>
      </c>
      <c r="P41" s="24">
        <v>0</v>
      </c>
      <c r="Q41" s="28">
        <v>0</v>
      </c>
      <c r="R41" s="23">
        <v>0</v>
      </c>
      <c r="S41" s="23">
        <v>0</v>
      </c>
      <c r="T41" s="23">
        <v>0</v>
      </c>
      <c r="U41" s="24">
        <v>0</v>
      </c>
      <c r="V41" s="28">
        <v>0</v>
      </c>
      <c r="W41" s="23">
        <v>0</v>
      </c>
      <c r="X41" s="23">
        <v>0</v>
      </c>
      <c r="Y41" s="23">
        <v>0</v>
      </c>
      <c r="Z41" s="24">
        <v>0</v>
      </c>
      <c r="AA41" s="28">
        <v>0</v>
      </c>
      <c r="AB41" s="23">
        <v>0</v>
      </c>
      <c r="AC41" s="24">
        <v>0</v>
      </c>
      <c r="AD41" s="28">
        <v>0</v>
      </c>
      <c r="AE41" s="23">
        <v>0</v>
      </c>
      <c r="AF41" s="24">
        <v>0</v>
      </c>
      <c r="AG41" s="28">
        <v>0</v>
      </c>
      <c r="AH41" s="23">
        <v>0</v>
      </c>
      <c r="AI41" s="24">
        <v>0</v>
      </c>
      <c r="AJ41" s="28">
        <v>0</v>
      </c>
      <c r="AK41" s="23">
        <v>0</v>
      </c>
      <c r="AL41" s="23">
        <v>0</v>
      </c>
      <c r="AM41" s="23">
        <v>0</v>
      </c>
      <c r="AN41" s="24">
        <v>0</v>
      </c>
      <c r="AO41" s="28">
        <v>0</v>
      </c>
      <c r="AP41" s="23">
        <v>0</v>
      </c>
      <c r="AQ41" s="24">
        <v>0</v>
      </c>
      <c r="AR41" s="28">
        <v>0</v>
      </c>
      <c r="AS41" s="23">
        <v>0</v>
      </c>
      <c r="AT41" s="24">
        <v>0</v>
      </c>
      <c r="AU41" s="28">
        <v>0</v>
      </c>
      <c r="AV41" s="23">
        <v>0</v>
      </c>
      <c r="AW41" s="23">
        <v>0</v>
      </c>
      <c r="AX41" s="23">
        <v>0</v>
      </c>
      <c r="AY41" s="24">
        <v>0</v>
      </c>
      <c r="AZ41" s="28">
        <v>0</v>
      </c>
      <c r="BA41" s="23">
        <v>0</v>
      </c>
      <c r="BB41" s="24">
        <v>0</v>
      </c>
      <c r="BC41" s="28">
        <v>0</v>
      </c>
      <c r="BD41" s="23">
        <v>0</v>
      </c>
      <c r="BE41" s="24">
        <v>0</v>
      </c>
      <c r="BF41" s="28">
        <v>0</v>
      </c>
      <c r="BG41" s="23">
        <v>0</v>
      </c>
      <c r="BH41" s="24">
        <v>0</v>
      </c>
      <c r="BI41" s="28">
        <v>0</v>
      </c>
      <c r="BJ41" s="23">
        <v>0</v>
      </c>
      <c r="BK41" s="23">
        <v>0</v>
      </c>
      <c r="BL41" s="23">
        <v>0</v>
      </c>
      <c r="BM41" s="24">
        <v>0</v>
      </c>
      <c r="BN41" s="28">
        <v>0</v>
      </c>
      <c r="BO41" s="23">
        <v>0</v>
      </c>
      <c r="BP41" s="24">
        <v>0</v>
      </c>
      <c r="BQ41" s="28">
        <v>0</v>
      </c>
      <c r="BR41" s="23">
        <v>0</v>
      </c>
      <c r="BS41" s="24">
        <v>0</v>
      </c>
      <c r="BT41" s="28">
        <v>0</v>
      </c>
      <c r="BU41" s="23">
        <v>0</v>
      </c>
      <c r="BV41" s="24">
        <v>0</v>
      </c>
      <c r="BW41" s="28">
        <v>0</v>
      </c>
      <c r="BX41" s="23">
        <v>0</v>
      </c>
      <c r="BY41" s="24">
        <v>0</v>
      </c>
      <c r="BZ41" s="28">
        <v>0</v>
      </c>
      <c r="CA41" s="23">
        <v>0</v>
      </c>
      <c r="CB41" s="24">
        <v>0</v>
      </c>
      <c r="CC41" s="28">
        <v>0</v>
      </c>
      <c r="CD41" s="23">
        <v>0</v>
      </c>
      <c r="CE41" s="24">
        <v>0</v>
      </c>
    </row>
    <row r="42" spans="1:83" x14ac:dyDescent="0.35">
      <c r="A42" s="12">
        <v>11</v>
      </c>
      <c r="B42" s="6">
        <v>30</v>
      </c>
      <c r="C42" s="12" t="str">
        <v>Liam Lawson</v>
      </c>
      <c r="D42" s="6" t="str">
        <v>Racing Bulls</v>
      </c>
      <c r="E42" s="2">
        <v>0</v>
      </c>
      <c r="F42" s="21">
        <v>0</v>
      </c>
      <c r="G42" s="23">
        <v>0</v>
      </c>
      <c r="H42" s="24">
        <v>0</v>
      </c>
      <c r="I42" s="28">
        <v>0</v>
      </c>
      <c r="J42" s="23">
        <v>0</v>
      </c>
      <c r="K42" s="23">
        <v>0</v>
      </c>
      <c r="L42" s="23">
        <v>0</v>
      </c>
      <c r="M42" s="24">
        <v>0</v>
      </c>
      <c r="N42" s="28">
        <v>0</v>
      </c>
      <c r="O42" s="23">
        <v>0</v>
      </c>
      <c r="P42" s="24">
        <v>0</v>
      </c>
      <c r="Q42" s="28">
        <v>0</v>
      </c>
      <c r="R42" s="23">
        <v>0</v>
      </c>
      <c r="S42" s="23">
        <v>0</v>
      </c>
      <c r="T42" s="23">
        <v>0</v>
      </c>
      <c r="U42" s="24">
        <v>0</v>
      </c>
      <c r="V42" s="28">
        <v>0</v>
      </c>
      <c r="W42" s="23">
        <v>0</v>
      </c>
      <c r="X42" s="23">
        <v>0</v>
      </c>
      <c r="Y42" s="23">
        <v>0</v>
      </c>
      <c r="Z42" s="24">
        <v>0</v>
      </c>
      <c r="AA42" s="28">
        <v>0</v>
      </c>
      <c r="AB42" s="23">
        <v>0</v>
      </c>
      <c r="AC42" s="24">
        <v>0</v>
      </c>
      <c r="AD42" s="28">
        <v>0</v>
      </c>
      <c r="AE42" s="23">
        <v>0</v>
      </c>
      <c r="AF42" s="24">
        <v>0</v>
      </c>
      <c r="AG42" s="28">
        <v>0</v>
      </c>
      <c r="AH42" s="23">
        <v>0</v>
      </c>
      <c r="AI42" s="24">
        <v>0</v>
      </c>
      <c r="AJ42" s="28">
        <v>0</v>
      </c>
      <c r="AK42" s="23">
        <v>0</v>
      </c>
      <c r="AL42" s="23">
        <v>0</v>
      </c>
      <c r="AM42" s="23">
        <v>0</v>
      </c>
      <c r="AN42" s="24">
        <v>0</v>
      </c>
      <c r="AO42" s="28">
        <v>0</v>
      </c>
      <c r="AP42" s="23">
        <v>0</v>
      </c>
      <c r="AQ42" s="24">
        <v>0</v>
      </c>
      <c r="AR42" s="28">
        <v>0</v>
      </c>
      <c r="AS42" s="23">
        <v>0</v>
      </c>
      <c r="AT42" s="24">
        <v>0</v>
      </c>
      <c r="AU42" s="28">
        <v>0</v>
      </c>
      <c r="AV42" s="23">
        <v>0</v>
      </c>
      <c r="AW42" s="23">
        <v>0</v>
      </c>
      <c r="AX42" s="23">
        <v>0</v>
      </c>
      <c r="AY42" s="24">
        <v>0</v>
      </c>
      <c r="AZ42" s="28">
        <v>0</v>
      </c>
      <c r="BA42" s="23">
        <v>0</v>
      </c>
      <c r="BB42" s="24">
        <v>0</v>
      </c>
      <c r="BC42" s="28">
        <v>0</v>
      </c>
      <c r="BD42" s="23">
        <v>0</v>
      </c>
      <c r="BE42" s="24">
        <v>0</v>
      </c>
      <c r="BF42" s="28">
        <v>0</v>
      </c>
      <c r="BG42" s="23">
        <v>0</v>
      </c>
      <c r="BH42" s="24">
        <v>0</v>
      </c>
      <c r="BI42" s="28">
        <v>0</v>
      </c>
      <c r="BJ42" s="23">
        <v>0</v>
      </c>
      <c r="BK42" s="23">
        <v>0</v>
      </c>
      <c r="BL42" s="23">
        <v>0</v>
      </c>
      <c r="BM42" s="24">
        <v>0</v>
      </c>
      <c r="BN42" s="28">
        <v>0</v>
      </c>
      <c r="BO42" s="23">
        <v>0</v>
      </c>
      <c r="BP42" s="24">
        <v>0</v>
      </c>
      <c r="BQ42" s="28">
        <v>0</v>
      </c>
      <c r="BR42" s="23">
        <v>0</v>
      </c>
      <c r="BS42" s="24">
        <v>0</v>
      </c>
      <c r="BT42" s="28">
        <v>0</v>
      </c>
      <c r="BU42" s="23">
        <v>0</v>
      </c>
      <c r="BV42" s="24">
        <v>0</v>
      </c>
      <c r="BW42" s="28">
        <v>0</v>
      </c>
      <c r="BX42" s="23">
        <v>0</v>
      </c>
      <c r="BY42" s="24">
        <v>0</v>
      </c>
      <c r="BZ42" s="28">
        <v>0</v>
      </c>
      <c r="CA42" s="23">
        <v>0</v>
      </c>
      <c r="CB42" s="24">
        <v>0</v>
      </c>
      <c r="CC42" s="28">
        <v>0</v>
      </c>
      <c r="CD42" s="23">
        <v>0</v>
      </c>
      <c r="CE42" s="24">
        <v>0</v>
      </c>
    </row>
    <row r="43" spans="1:83" x14ac:dyDescent="0.35">
      <c r="A43" s="12">
        <v>12</v>
      </c>
      <c r="B43" s="6">
        <v>41</v>
      </c>
      <c r="C43" s="12" t="str">
        <v>Arvid Lindblad</v>
      </c>
      <c r="D43" s="6" t="str">
        <v>Racing Bulls</v>
      </c>
      <c r="E43" s="2">
        <v>0</v>
      </c>
      <c r="F43" s="21">
        <v>0</v>
      </c>
      <c r="G43" s="23">
        <v>0</v>
      </c>
      <c r="H43" s="24">
        <v>0</v>
      </c>
      <c r="I43" s="28">
        <v>0</v>
      </c>
      <c r="J43" s="23">
        <v>0</v>
      </c>
      <c r="K43" s="23">
        <v>0</v>
      </c>
      <c r="L43" s="23">
        <v>0</v>
      </c>
      <c r="M43" s="24">
        <v>0</v>
      </c>
      <c r="N43" s="28">
        <v>0</v>
      </c>
      <c r="O43" s="23">
        <v>0</v>
      </c>
      <c r="P43" s="24">
        <v>0</v>
      </c>
      <c r="Q43" s="28">
        <v>0</v>
      </c>
      <c r="R43" s="23">
        <v>0</v>
      </c>
      <c r="S43" s="23">
        <v>0</v>
      </c>
      <c r="T43" s="23">
        <v>0</v>
      </c>
      <c r="U43" s="24">
        <v>0</v>
      </c>
      <c r="V43" s="28">
        <v>0</v>
      </c>
      <c r="W43" s="23">
        <v>0</v>
      </c>
      <c r="X43" s="23">
        <v>0</v>
      </c>
      <c r="Y43" s="23">
        <v>0</v>
      </c>
      <c r="Z43" s="24">
        <v>0</v>
      </c>
      <c r="AA43" s="28">
        <v>0</v>
      </c>
      <c r="AB43" s="23">
        <v>0</v>
      </c>
      <c r="AC43" s="24">
        <v>0</v>
      </c>
      <c r="AD43" s="28">
        <v>0</v>
      </c>
      <c r="AE43" s="23">
        <v>0</v>
      </c>
      <c r="AF43" s="24">
        <v>0</v>
      </c>
      <c r="AG43" s="28">
        <v>0</v>
      </c>
      <c r="AH43" s="23">
        <v>0</v>
      </c>
      <c r="AI43" s="24">
        <v>0</v>
      </c>
      <c r="AJ43" s="28">
        <v>0</v>
      </c>
      <c r="AK43" s="23">
        <v>0</v>
      </c>
      <c r="AL43" s="23">
        <v>0</v>
      </c>
      <c r="AM43" s="23">
        <v>0</v>
      </c>
      <c r="AN43" s="24">
        <v>0</v>
      </c>
      <c r="AO43" s="28">
        <v>0</v>
      </c>
      <c r="AP43" s="23">
        <v>0</v>
      </c>
      <c r="AQ43" s="24">
        <v>0</v>
      </c>
      <c r="AR43" s="28">
        <v>0</v>
      </c>
      <c r="AS43" s="23">
        <v>0</v>
      </c>
      <c r="AT43" s="24">
        <v>0</v>
      </c>
      <c r="AU43" s="28">
        <v>0</v>
      </c>
      <c r="AV43" s="23">
        <v>0</v>
      </c>
      <c r="AW43" s="23">
        <v>0</v>
      </c>
      <c r="AX43" s="23">
        <v>0</v>
      </c>
      <c r="AY43" s="24">
        <v>0</v>
      </c>
      <c r="AZ43" s="28">
        <v>0</v>
      </c>
      <c r="BA43" s="23">
        <v>0</v>
      </c>
      <c r="BB43" s="24">
        <v>0</v>
      </c>
      <c r="BC43" s="28">
        <v>0</v>
      </c>
      <c r="BD43" s="23">
        <v>0</v>
      </c>
      <c r="BE43" s="24">
        <v>0</v>
      </c>
      <c r="BF43" s="28">
        <v>0</v>
      </c>
      <c r="BG43" s="23">
        <v>0</v>
      </c>
      <c r="BH43" s="24">
        <v>0</v>
      </c>
      <c r="BI43" s="28">
        <v>0</v>
      </c>
      <c r="BJ43" s="23">
        <v>0</v>
      </c>
      <c r="BK43" s="23">
        <v>0</v>
      </c>
      <c r="BL43" s="23">
        <v>0</v>
      </c>
      <c r="BM43" s="24">
        <v>0</v>
      </c>
      <c r="BN43" s="28">
        <v>0</v>
      </c>
      <c r="BO43" s="23">
        <v>0</v>
      </c>
      <c r="BP43" s="24">
        <v>0</v>
      </c>
      <c r="BQ43" s="28">
        <v>0</v>
      </c>
      <c r="BR43" s="23">
        <v>0</v>
      </c>
      <c r="BS43" s="24">
        <v>0</v>
      </c>
      <c r="BT43" s="28">
        <v>0</v>
      </c>
      <c r="BU43" s="23">
        <v>0</v>
      </c>
      <c r="BV43" s="24">
        <v>0</v>
      </c>
      <c r="BW43" s="28">
        <v>0</v>
      </c>
      <c r="BX43" s="23">
        <v>0</v>
      </c>
      <c r="BY43" s="24">
        <v>0</v>
      </c>
      <c r="BZ43" s="28">
        <v>0</v>
      </c>
      <c r="CA43" s="23">
        <v>0</v>
      </c>
      <c r="CB43" s="24">
        <v>0</v>
      </c>
      <c r="CC43" s="28">
        <v>0</v>
      </c>
      <c r="CD43" s="23">
        <v>0</v>
      </c>
      <c r="CE43" s="24">
        <v>0</v>
      </c>
    </row>
    <row r="44" spans="1:83" x14ac:dyDescent="0.35">
      <c r="A44" s="12">
        <v>13</v>
      </c>
      <c r="B44" s="7">
        <v>31</v>
      </c>
      <c r="C44" s="12" t="str">
        <v>Esteban Ocon</v>
      </c>
      <c r="D44" s="7" t="str">
        <v>Hass</v>
      </c>
      <c r="E44" s="2">
        <v>0</v>
      </c>
      <c r="F44" s="21">
        <v>0</v>
      </c>
      <c r="G44" s="23">
        <v>0</v>
      </c>
      <c r="H44" s="24">
        <v>0</v>
      </c>
      <c r="I44" s="28">
        <v>0</v>
      </c>
      <c r="J44" s="23">
        <v>0</v>
      </c>
      <c r="K44" s="23">
        <v>0</v>
      </c>
      <c r="L44" s="23">
        <v>0</v>
      </c>
      <c r="M44" s="24">
        <v>0</v>
      </c>
      <c r="N44" s="28">
        <v>0</v>
      </c>
      <c r="O44" s="23">
        <v>0</v>
      </c>
      <c r="P44" s="24">
        <v>0</v>
      </c>
      <c r="Q44" s="28">
        <v>0</v>
      </c>
      <c r="R44" s="23">
        <v>0</v>
      </c>
      <c r="S44" s="23">
        <v>0</v>
      </c>
      <c r="T44" s="23">
        <v>0</v>
      </c>
      <c r="U44" s="24">
        <v>0</v>
      </c>
      <c r="V44" s="28">
        <v>0</v>
      </c>
      <c r="W44" s="23">
        <v>0</v>
      </c>
      <c r="X44" s="23">
        <v>0</v>
      </c>
      <c r="Y44" s="23">
        <v>0</v>
      </c>
      <c r="Z44" s="24">
        <v>0</v>
      </c>
      <c r="AA44" s="28">
        <v>0</v>
      </c>
      <c r="AB44" s="23">
        <v>0</v>
      </c>
      <c r="AC44" s="24">
        <v>0</v>
      </c>
      <c r="AD44" s="28">
        <v>0</v>
      </c>
      <c r="AE44" s="23">
        <v>0</v>
      </c>
      <c r="AF44" s="24">
        <v>0</v>
      </c>
      <c r="AG44" s="28">
        <v>0</v>
      </c>
      <c r="AH44" s="23">
        <v>0</v>
      </c>
      <c r="AI44" s="24">
        <v>0</v>
      </c>
      <c r="AJ44" s="28">
        <v>0</v>
      </c>
      <c r="AK44" s="23">
        <v>0</v>
      </c>
      <c r="AL44" s="23">
        <v>0</v>
      </c>
      <c r="AM44" s="23">
        <v>0</v>
      </c>
      <c r="AN44" s="24">
        <v>0</v>
      </c>
      <c r="AO44" s="28">
        <v>0</v>
      </c>
      <c r="AP44" s="23">
        <v>0</v>
      </c>
      <c r="AQ44" s="24">
        <v>0</v>
      </c>
      <c r="AR44" s="28">
        <v>0</v>
      </c>
      <c r="AS44" s="23">
        <v>0</v>
      </c>
      <c r="AT44" s="24">
        <v>0</v>
      </c>
      <c r="AU44" s="28">
        <v>0</v>
      </c>
      <c r="AV44" s="23">
        <v>0</v>
      </c>
      <c r="AW44" s="23">
        <v>0</v>
      </c>
      <c r="AX44" s="23">
        <v>0</v>
      </c>
      <c r="AY44" s="24">
        <v>0</v>
      </c>
      <c r="AZ44" s="28">
        <v>0</v>
      </c>
      <c r="BA44" s="23">
        <v>0</v>
      </c>
      <c r="BB44" s="24">
        <v>0</v>
      </c>
      <c r="BC44" s="28">
        <v>0</v>
      </c>
      <c r="BD44" s="23">
        <v>0</v>
      </c>
      <c r="BE44" s="24">
        <v>0</v>
      </c>
      <c r="BF44" s="28">
        <v>0</v>
      </c>
      <c r="BG44" s="23">
        <v>0</v>
      </c>
      <c r="BH44" s="24">
        <v>0</v>
      </c>
      <c r="BI44" s="28">
        <v>0</v>
      </c>
      <c r="BJ44" s="23">
        <v>0</v>
      </c>
      <c r="BK44" s="23">
        <v>0</v>
      </c>
      <c r="BL44" s="23">
        <v>0</v>
      </c>
      <c r="BM44" s="24">
        <v>0</v>
      </c>
      <c r="BN44" s="28">
        <v>0</v>
      </c>
      <c r="BO44" s="23">
        <v>0</v>
      </c>
      <c r="BP44" s="24">
        <v>0</v>
      </c>
      <c r="BQ44" s="28">
        <v>0</v>
      </c>
      <c r="BR44" s="23">
        <v>0</v>
      </c>
      <c r="BS44" s="24">
        <v>0</v>
      </c>
      <c r="BT44" s="28">
        <v>0</v>
      </c>
      <c r="BU44" s="23">
        <v>0</v>
      </c>
      <c r="BV44" s="24">
        <v>0</v>
      </c>
      <c r="BW44" s="28">
        <v>0</v>
      </c>
      <c r="BX44" s="23">
        <v>0</v>
      </c>
      <c r="BY44" s="24">
        <v>0</v>
      </c>
      <c r="BZ44" s="28">
        <v>0</v>
      </c>
      <c r="CA44" s="23">
        <v>0</v>
      </c>
      <c r="CB44" s="24">
        <v>0</v>
      </c>
      <c r="CC44" s="28">
        <v>0</v>
      </c>
      <c r="CD44" s="23">
        <v>0</v>
      </c>
      <c r="CE44" s="24">
        <v>0</v>
      </c>
    </row>
    <row r="45" spans="1:83" x14ac:dyDescent="0.35">
      <c r="A45" s="12">
        <v>14</v>
      </c>
      <c r="B45" s="7">
        <v>87</v>
      </c>
      <c r="C45" s="12" t="str">
        <v>Oliver Bearman</v>
      </c>
      <c r="D45" s="7" t="str">
        <v>Hass</v>
      </c>
      <c r="E45" s="2">
        <v>0</v>
      </c>
      <c r="F45" s="21">
        <v>0</v>
      </c>
      <c r="G45" s="23">
        <v>0</v>
      </c>
      <c r="H45" s="24">
        <v>0</v>
      </c>
      <c r="I45" s="28">
        <v>0</v>
      </c>
      <c r="J45" s="23">
        <v>0</v>
      </c>
      <c r="K45" s="23">
        <v>0</v>
      </c>
      <c r="L45" s="23">
        <v>0</v>
      </c>
      <c r="M45" s="24">
        <v>0</v>
      </c>
      <c r="N45" s="28">
        <v>0</v>
      </c>
      <c r="O45" s="23">
        <v>0</v>
      </c>
      <c r="P45" s="24">
        <v>0</v>
      </c>
      <c r="Q45" s="28">
        <v>0</v>
      </c>
      <c r="R45" s="23">
        <v>0</v>
      </c>
      <c r="S45" s="23">
        <v>0</v>
      </c>
      <c r="T45" s="23">
        <v>0</v>
      </c>
      <c r="U45" s="24">
        <v>0</v>
      </c>
      <c r="V45" s="28">
        <v>0</v>
      </c>
      <c r="W45" s="23">
        <v>0</v>
      </c>
      <c r="X45" s="23">
        <v>0</v>
      </c>
      <c r="Y45" s="23">
        <v>0</v>
      </c>
      <c r="Z45" s="24">
        <v>0</v>
      </c>
      <c r="AA45" s="28">
        <v>0</v>
      </c>
      <c r="AB45" s="23">
        <v>0</v>
      </c>
      <c r="AC45" s="24">
        <v>0</v>
      </c>
      <c r="AD45" s="28">
        <v>0</v>
      </c>
      <c r="AE45" s="23">
        <v>0</v>
      </c>
      <c r="AF45" s="24">
        <v>0</v>
      </c>
      <c r="AG45" s="28">
        <v>0</v>
      </c>
      <c r="AH45" s="23">
        <v>0</v>
      </c>
      <c r="AI45" s="24">
        <v>0</v>
      </c>
      <c r="AJ45" s="28">
        <v>0</v>
      </c>
      <c r="AK45" s="23">
        <v>0</v>
      </c>
      <c r="AL45" s="23">
        <v>0</v>
      </c>
      <c r="AM45" s="23">
        <v>0</v>
      </c>
      <c r="AN45" s="24">
        <v>0</v>
      </c>
      <c r="AO45" s="28">
        <v>0</v>
      </c>
      <c r="AP45" s="23">
        <v>0</v>
      </c>
      <c r="AQ45" s="24">
        <v>0</v>
      </c>
      <c r="AR45" s="28">
        <v>0</v>
      </c>
      <c r="AS45" s="23">
        <v>0</v>
      </c>
      <c r="AT45" s="24">
        <v>0</v>
      </c>
      <c r="AU45" s="28">
        <v>0</v>
      </c>
      <c r="AV45" s="23">
        <v>0</v>
      </c>
      <c r="AW45" s="23">
        <v>0</v>
      </c>
      <c r="AX45" s="23">
        <v>0</v>
      </c>
      <c r="AY45" s="24">
        <v>0</v>
      </c>
      <c r="AZ45" s="28">
        <v>0</v>
      </c>
      <c r="BA45" s="23">
        <v>0</v>
      </c>
      <c r="BB45" s="24">
        <v>0</v>
      </c>
      <c r="BC45" s="28">
        <v>0</v>
      </c>
      <c r="BD45" s="23">
        <v>0</v>
      </c>
      <c r="BE45" s="24">
        <v>0</v>
      </c>
      <c r="BF45" s="28">
        <v>0</v>
      </c>
      <c r="BG45" s="23">
        <v>0</v>
      </c>
      <c r="BH45" s="24">
        <v>0</v>
      </c>
      <c r="BI45" s="28">
        <v>0</v>
      </c>
      <c r="BJ45" s="23">
        <v>0</v>
      </c>
      <c r="BK45" s="23">
        <v>0</v>
      </c>
      <c r="BL45" s="23">
        <v>0</v>
      </c>
      <c r="BM45" s="24">
        <v>0</v>
      </c>
      <c r="BN45" s="28">
        <v>0</v>
      </c>
      <c r="BO45" s="23">
        <v>0</v>
      </c>
      <c r="BP45" s="24">
        <v>0</v>
      </c>
      <c r="BQ45" s="28">
        <v>0</v>
      </c>
      <c r="BR45" s="23">
        <v>0</v>
      </c>
      <c r="BS45" s="24">
        <v>0</v>
      </c>
      <c r="BT45" s="28">
        <v>0</v>
      </c>
      <c r="BU45" s="23">
        <v>0</v>
      </c>
      <c r="BV45" s="24">
        <v>0</v>
      </c>
      <c r="BW45" s="28">
        <v>0</v>
      </c>
      <c r="BX45" s="23">
        <v>0</v>
      </c>
      <c r="BY45" s="24">
        <v>0</v>
      </c>
      <c r="BZ45" s="28">
        <v>0</v>
      </c>
      <c r="CA45" s="23">
        <v>0</v>
      </c>
      <c r="CB45" s="24">
        <v>0</v>
      </c>
      <c r="CC45" s="28">
        <v>0</v>
      </c>
      <c r="CD45" s="23">
        <v>0</v>
      </c>
      <c r="CE45" s="24">
        <v>0</v>
      </c>
    </row>
    <row r="46" spans="1:83" x14ac:dyDescent="0.35">
      <c r="A46" s="12">
        <v>15</v>
      </c>
      <c r="B46" s="8">
        <v>55</v>
      </c>
      <c r="C46" s="12" t="str">
        <v>Carlos Sainz</v>
      </c>
      <c r="D46" s="8" t="str">
        <v>Williams</v>
      </c>
      <c r="E46" s="2">
        <v>0</v>
      </c>
      <c r="F46" s="21">
        <v>0</v>
      </c>
      <c r="G46" s="23">
        <v>0</v>
      </c>
      <c r="H46" s="24">
        <v>0</v>
      </c>
      <c r="I46" s="28">
        <v>0</v>
      </c>
      <c r="J46" s="23">
        <v>0</v>
      </c>
      <c r="K46" s="23">
        <v>0</v>
      </c>
      <c r="L46" s="23">
        <v>0</v>
      </c>
      <c r="M46" s="24">
        <v>0</v>
      </c>
      <c r="N46" s="28">
        <v>0</v>
      </c>
      <c r="O46" s="23">
        <v>0</v>
      </c>
      <c r="P46" s="24">
        <v>0</v>
      </c>
      <c r="Q46" s="28">
        <v>0</v>
      </c>
      <c r="R46" s="23">
        <v>0</v>
      </c>
      <c r="S46" s="23">
        <v>0</v>
      </c>
      <c r="T46" s="23">
        <v>0</v>
      </c>
      <c r="U46" s="24">
        <v>0</v>
      </c>
      <c r="V46" s="28">
        <v>0</v>
      </c>
      <c r="W46" s="23">
        <v>0</v>
      </c>
      <c r="X46" s="23">
        <v>0</v>
      </c>
      <c r="Y46" s="23">
        <v>0</v>
      </c>
      <c r="Z46" s="24">
        <v>0</v>
      </c>
      <c r="AA46" s="28">
        <v>0</v>
      </c>
      <c r="AB46" s="23">
        <v>0</v>
      </c>
      <c r="AC46" s="24">
        <v>0</v>
      </c>
      <c r="AD46" s="28">
        <v>0</v>
      </c>
      <c r="AE46" s="23">
        <v>0</v>
      </c>
      <c r="AF46" s="24">
        <v>0</v>
      </c>
      <c r="AG46" s="28">
        <v>0</v>
      </c>
      <c r="AH46" s="23">
        <v>0</v>
      </c>
      <c r="AI46" s="24">
        <v>0</v>
      </c>
      <c r="AJ46" s="28">
        <v>0</v>
      </c>
      <c r="AK46" s="23">
        <v>0</v>
      </c>
      <c r="AL46" s="23">
        <v>0</v>
      </c>
      <c r="AM46" s="23">
        <v>0</v>
      </c>
      <c r="AN46" s="24">
        <v>0</v>
      </c>
      <c r="AO46" s="28">
        <v>0</v>
      </c>
      <c r="AP46" s="23">
        <v>0</v>
      </c>
      <c r="AQ46" s="24">
        <v>0</v>
      </c>
      <c r="AR46" s="28">
        <v>0</v>
      </c>
      <c r="AS46" s="23">
        <v>0</v>
      </c>
      <c r="AT46" s="24">
        <v>0</v>
      </c>
      <c r="AU46" s="28">
        <v>0</v>
      </c>
      <c r="AV46" s="23">
        <v>0</v>
      </c>
      <c r="AW46" s="23">
        <v>0</v>
      </c>
      <c r="AX46" s="23">
        <v>0</v>
      </c>
      <c r="AY46" s="24">
        <v>0</v>
      </c>
      <c r="AZ46" s="28">
        <v>0</v>
      </c>
      <c r="BA46" s="23">
        <v>0</v>
      </c>
      <c r="BB46" s="24">
        <v>0</v>
      </c>
      <c r="BC46" s="28">
        <v>0</v>
      </c>
      <c r="BD46" s="23">
        <v>0</v>
      </c>
      <c r="BE46" s="24">
        <v>0</v>
      </c>
      <c r="BF46" s="28">
        <v>0</v>
      </c>
      <c r="BG46" s="23">
        <v>0</v>
      </c>
      <c r="BH46" s="24">
        <v>0</v>
      </c>
      <c r="BI46" s="28">
        <v>0</v>
      </c>
      <c r="BJ46" s="23">
        <v>0</v>
      </c>
      <c r="BK46" s="23">
        <v>0</v>
      </c>
      <c r="BL46" s="23">
        <v>0</v>
      </c>
      <c r="BM46" s="24">
        <v>0</v>
      </c>
      <c r="BN46" s="28">
        <v>0</v>
      </c>
      <c r="BO46" s="23">
        <v>0</v>
      </c>
      <c r="BP46" s="24">
        <v>0</v>
      </c>
      <c r="BQ46" s="28">
        <v>0</v>
      </c>
      <c r="BR46" s="23">
        <v>0</v>
      </c>
      <c r="BS46" s="24">
        <v>0</v>
      </c>
      <c r="BT46" s="28">
        <v>0</v>
      </c>
      <c r="BU46" s="23">
        <v>0</v>
      </c>
      <c r="BV46" s="24">
        <v>0</v>
      </c>
      <c r="BW46" s="28">
        <v>0</v>
      </c>
      <c r="BX46" s="23">
        <v>0</v>
      </c>
      <c r="BY46" s="24">
        <v>0</v>
      </c>
      <c r="BZ46" s="28">
        <v>0</v>
      </c>
      <c r="CA46" s="23">
        <v>0</v>
      </c>
      <c r="CB46" s="24">
        <v>0</v>
      </c>
      <c r="CC46" s="28">
        <v>0</v>
      </c>
      <c r="CD46" s="23">
        <v>0</v>
      </c>
      <c r="CE46" s="24">
        <v>0</v>
      </c>
    </row>
    <row r="47" spans="1:83" x14ac:dyDescent="0.35">
      <c r="A47" s="12">
        <v>16</v>
      </c>
      <c r="B47" s="8">
        <v>23</v>
      </c>
      <c r="C47" s="12" t="str">
        <v>Alexander Albon</v>
      </c>
      <c r="D47" s="8" t="str">
        <v>Williams</v>
      </c>
      <c r="E47" s="2">
        <v>0</v>
      </c>
      <c r="F47" s="21">
        <v>0</v>
      </c>
      <c r="G47" s="23">
        <v>0</v>
      </c>
      <c r="H47" s="24">
        <v>0</v>
      </c>
      <c r="I47" s="28">
        <v>0</v>
      </c>
      <c r="J47" s="23">
        <v>0</v>
      </c>
      <c r="K47" s="23">
        <v>0</v>
      </c>
      <c r="L47" s="23">
        <v>0</v>
      </c>
      <c r="M47" s="24">
        <v>0</v>
      </c>
      <c r="N47" s="28">
        <v>0</v>
      </c>
      <c r="O47" s="23">
        <v>0</v>
      </c>
      <c r="P47" s="24">
        <v>0</v>
      </c>
      <c r="Q47" s="28">
        <v>0</v>
      </c>
      <c r="R47" s="23">
        <v>0</v>
      </c>
      <c r="S47" s="23">
        <v>0</v>
      </c>
      <c r="T47" s="23">
        <v>0</v>
      </c>
      <c r="U47" s="24">
        <v>0</v>
      </c>
      <c r="V47" s="28">
        <v>0</v>
      </c>
      <c r="W47" s="23">
        <v>0</v>
      </c>
      <c r="X47" s="23">
        <v>0</v>
      </c>
      <c r="Y47" s="23">
        <v>0</v>
      </c>
      <c r="Z47" s="24">
        <v>0</v>
      </c>
      <c r="AA47" s="28">
        <v>0</v>
      </c>
      <c r="AB47" s="23">
        <v>0</v>
      </c>
      <c r="AC47" s="24">
        <v>0</v>
      </c>
      <c r="AD47" s="28">
        <v>0</v>
      </c>
      <c r="AE47" s="23">
        <v>0</v>
      </c>
      <c r="AF47" s="24">
        <v>0</v>
      </c>
      <c r="AG47" s="28">
        <v>0</v>
      </c>
      <c r="AH47" s="23">
        <v>0</v>
      </c>
      <c r="AI47" s="24">
        <v>0</v>
      </c>
      <c r="AJ47" s="28">
        <v>0</v>
      </c>
      <c r="AK47" s="23">
        <v>0</v>
      </c>
      <c r="AL47" s="23">
        <v>0</v>
      </c>
      <c r="AM47" s="23">
        <v>0</v>
      </c>
      <c r="AN47" s="24">
        <v>0</v>
      </c>
      <c r="AO47" s="28">
        <v>0</v>
      </c>
      <c r="AP47" s="23">
        <v>0</v>
      </c>
      <c r="AQ47" s="24">
        <v>0</v>
      </c>
      <c r="AR47" s="28">
        <v>0</v>
      </c>
      <c r="AS47" s="23">
        <v>0</v>
      </c>
      <c r="AT47" s="24">
        <v>0</v>
      </c>
      <c r="AU47" s="28">
        <v>0</v>
      </c>
      <c r="AV47" s="23">
        <v>0</v>
      </c>
      <c r="AW47" s="23">
        <v>0</v>
      </c>
      <c r="AX47" s="23">
        <v>0</v>
      </c>
      <c r="AY47" s="24">
        <v>0</v>
      </c>
      <c r="AZ47" s="28">
        <v>0</v>
      </c>
      <c r="BA47" s="23">
        <v>0</v>
      </c>
      <c r="BB47" s="24">
        <v>0</v>
      </c>
      <c r="BC47" s="28">
        <v>0</v>
      </c>
      <c r="BD47" s="23">
        <v>0</v>
      </c>
      <c r="BE47" s="24">
        <v>0</v>
      </c>
      <c r="BF47" s="28">
        <v>0</v>
      </c>
      <c r="BG47" s="23">
        <v>0</v>
      </c>
      <c r="BH47" s="24">
        <v>0</v>
      </c>
      <c r="BI47" s="28">
        <v>0</v>
      </c>
      <c r="BJ47" s="23">
        <v>0</v>
      </c>
      <c r="BK47" s="23">
        <v>0</v>
      </c>
      <c r="BL47" s="23">
        <v>0</v>
      </c>
      <c r="BM47" s="24">
        <v>0</v>
      </c>
      <c r="BN47" s="28">
        <v>0</v>
      </c>
      <c r="BO47" s="23">
        <v>0</v>
      </c>
      <c r="BP47" s="24">
        <v>0</v>
      </c>
      <c r="BQ47" s="28">
        <v>0</v>
      </c>
      <c r="BR47" s="23">
        <v>0</v>
      </c>
      <c r="BS47" s="24">
        <v>0</v>
      </c>
      <c r="BT47" s="28">
        <v>0</v>
      </c>
      <c r="BU47" s="23">
        <v>0</v>
      </c>
      <c r="BV47" s="24">
        <v>0</v>
      </c>
      <c r="BW47" s="28">
        <v>0</v>
      </c>
      <c r="BX47" s="23">
        <v>0</v>
      </c>
      <c r="BY47" s="24">
        <v>0</v>
      </c>
      <c r="BZ47" s="28">
        <v>0</v>
      </c>
      <c r="CA47" s="23">
        <v>0</v>
      </c>
      <c r="CB47" s="24">
        <v>0</v>
      </c>
      <c r="CC47" s="28">
        <v>0</v>
      </c>
      <c r="CD47" s="23">
        <v>0</v>
      </c>
      <c r="CE47" s="24">
        <v>0</v>
      </c>
    </row>
    <row r="48" spans="1:83" x14ac:dyDescent="0.35">
      <c r="A48" s="12">
        <v>17</v>
      </c>
      <c r="B48" s="9">
        <v>27</v>
      </c>
      <c r="C48" s="12" t="str">
        <v>Nico Hulkenberg</v>
      </c>
      <c r="D48" s="9" t="str">
        <v>Audi</v>
      </c>
      <c r="E48" s="2">
        <v>0</v>
      </c>
      <c r="F48" s="21">
        <v>0</v>
      </c>
      <c r="G48" s="23">
        <v>0</v>
      </c>
      <c r="H48" s="24">
        <v>0</v>
      </c>
      <c r="I48" s="28">
        <v>0</v>
      </c>
      <c r="J48" s="23">
        <v>0</v>
      </c>
      <c r="K48" s="23">
        <v>0</v>
      </c>
      <c r="L48" s="23">
        <v>0</v>
      </c>
      <c r="M48" s="24">
        <v>0</v>
      </c>
      <c r="N48" s="28">
        <v>0</v>
      </c>
      <c r="O48" s="23">
        <v>0</v>
      </c>
      <c r="P48" s="24">
        <v>0</v>
      </c>
      <c r="Q48" s="28">
        <v>0</v>
      </c>
      <c r="R48" s="23">
        <v>0</v>
      </c>
      <c r="S48" s="23">
        <v>0</v>
      </c>
      <c r="T48" s="23">
        <v>0</v>
      </c>
      <c r="U48" s="24">
        <v>0</v>
      </c>
      <c r="V48" s="28">
        <v>0</v>
      </c>
      <c r="W48" s="23">
        <v>0</v>
      </c>
      <c r="X48" s="23">
        <v>0</v>
      </c>
      <c r="Y48" s="23">
        <v>0</v>
      </c>
      <c r="Z48" s="24">
        <v>0</v>
      </c>
      <c r="AA48" s="28">
        <v>0</v>
      </c>
      <c r="AB48" s="23">
        <v>0</v>
      </c>
      <c r="AC48" s="24">
        <v>0</v>
      </c>
      <c r="AD48" s="28">
        <v>0</v>
      </c>
      <c r="AE48" s="23">
        <v>0</v>
      </c>
      <c r="AF48" s="24">
        <v>0</v>
      </c>
      <c r="AG48" s="28">
        <v>0</v>
      </c>
      <c r="AH48" s="23">
        <v>0</v>
      </c>
      <c r="AI48" s="24">
        <v>0</v>
      </c>
      <c r="AJ48" s="28">
        <v>0</v>
      </c>
      <c r="AK48" s="23">
        <v>0</v>
      </c>
      <c r="AL48" s="23">
        <v>0</v>
      </c>
      <c r="AM48" s="23">
        <v>0</v>
      </c>
      <c r="AN48" s="24">
        <v>0</v>
      </c>
      <c r="AO48" s="28">
        <v>0</v>
      </c>
      <c r="AP48" s="23">
        <v>0</v>
      </c>
      <c r="AQ48" s="24">
        <v>0</v>
      </c>
      <c r="AR48" s="28">
        <v>0</v>
      </c>
      <c r="AS48" s="23">
        <v>0</v>
      </c>
      <c r="AT48" s="24">
        <v>0</v>
      </c>
      <c r="AU48" s="28">
        <v>0</v>
      </c>
      <c r="AV48" s="23">
        <v>0</v>
      </c>
      <c r="AW48" s="23">
        <v>0</v>
      </c>
      <c r="AX48" s="23">
        <v>0</v>
      </c>
      <c r="AY48" s="24">
        <v>0</v>
      </c>
      <c r="AZ48" s="28">
        <v>0</v>
      </c>
      <c r="BA48" s="23">
        <v>0</v>
      </c>
      <c r="BB48" s="24">
        <v>0</v>
      </c>
      <c r="BC48" s="28">
        <v>0</v>
      </c>
      <c r="BD48" s="23">
        <v>0</v>
      </c>
      <c r="BE48" s="24">
        <v>0</v>
      </c>
      <c r="BF48" s="28">
        <v>0</v>
      </c>
      <c r="BG48" s="23">
        <v>0</v>
      </c>
      <c r="BH48" s="24">
        <v>0</v>
      </c>
      <c r="BI48" s="28">
        <v>0</v>
      </c>
      <c r="BJ48" s="23">
        <v>0</v>
      </c>
      <c r="BK48" s="23">
        <v>0</v>
      </c>
      <c r="BL48" s="23">
        <v>0</v>
      </c>
      <c r="BM48" s="24">
        <v>0</v>
      </c>
      <c r="BN48" s="28">
        <v>0</v>
      </c>
      <c r="BO48" s="23">
        <v>0</v>
      </c>
      <c r="BP48" s="24">
        <v>0</v>
      </c>
      <c r="BQ48" s="28">
        <v>0</v>
      </c>
      <c r="BR48" s="23">
        <v>0</v>
      </c>
      <c r="BS48" s="24">
        <v>0</v>
      </c>
      <c r="BT48" s="28">
        <v>0</v>
      </c>
      <c r="BU48" s="23">
        <v>0</v>
      </c>
      <c r="BV48" s="24">
        <v>0</v>
      </c>
      <c r="BW48" s="28">
        <v>0</v>
      </c>
      <c r="BX48" s="23">
        <v>0</v>
      </c>
      <c r="BY48" s="24">
        <v>0</v>
      </c>
      <c r="BZ48" s="28">
        <v>0</v>
      </c>
      <c r="CA48" s="23">
        <v>0</v>
      </c>
      <c r="CB48" s="24">
        <v>0</v>
      </c>
      <c r="CC48" s="28">
        <v>0</v>
      </c>
      <c r="CD48" s="23">
        <v>0</v>
      </c>
      <c r="CE48" s="24">
        <v>0</v>
      </c>
    </row>
    <row r="49" spans="1:83" x14ac:dyDescent="0.35">
      <c r="A49" s="12">
        <v>18</v>
      </c>
      <c r="B49" s="9">
        <v>5</v>
      </c>
      <c r="C49" s="12" t="str">
        <v>Gabriel Bortoleto</v>
      </c>
      <c r="D49" s="9" t="str">
        <v>Audi</v>
      </c>
      <c r="E49" s="2">
        <v>0</v>
      </c>
      <c r="F49" s="21">
        <v>0</v>
      </c>
      <c r="G49" s="23">
        <v>0</v>
      </c>
      <c r="H49" s="24">
        <v>0</v>
      </c>
      <c r="I49" s="28">
        <v>0</v>
      </c>
      <c r="J49" s="23">
        <v>0</v>
      </c>
      <c r="K49" s="23">
        <v>0</v>
      </c>
      <c r="L49" s="23">
        <v>0</v>
      </c>
      <c r="M49" s="24">
        <v>0</v>
      </c>
      <c r="N49" s="28">
        <v>0</v>
      </c>
      <c r="O49" s="23">
        <v>0</v>
      </c>
      <c r="P49" s="24">
        <v>0</v>
      </c>
      <c r="Q49" s="28">
        <v>0</v>
      </c>
      <c r="R49" s="23">
        <v>0</v>
      </c>
      <c r="S49" s="23">
        <v>0</v>
      </c>
      <c r="T49" s="23">
        <v>0</v>
      </c>
      <c r="U49" s="24">
        <v>0</v>
      </c>
      <c r="V49" s="28">
        <v>0</v>
      </c>
      <c r="W49" s="23">
        <v>0</v>
      </c>
      <c r="X49" s="23">
        <v>0</v>
      </c>
      <c r="Y49" s="23">
        <v>0</v>
      </c>
      <c r="Z49" s="24">
        <v>0</v>
      </c>
      <c r="AA49" s="28">
        <v>0</v>
      </c>
      <c r="AB49" s="23">
        <v>0</v>
      </c>
      <c r="AC49" s="24">
        <v>0</v>
      </c>
      <c r="AD49" s="28">
        <v>0</v>
      </c>
      <c r="AE49" s="23">
        <v>0</v>
      </c>
      <c r="AF49" s="24">
        <v>0</v>
      </c>
      <c r="AG49" s="28">
        <v>0</v>
      </c>
      <c r="AH49" s="23">
        <v>0</v>
      </c>
      <c r="AI49" s="24">
        <v>0</v>
      </c>
      <c r="AJ49" s="28">
        <v>0</v>
      </c>
      <c r="AK49" s="23">
        <v>0</v>
      </c>
      <c r="AL49" s="23">
        <v>0</v>
      </c>
      <c r="AM49" s="23">
        <v>0</v>
      </c>
      <c r="AN49" s="24">
        <v>0</v>
      </c>
      <c r="AO49" s="28">
        <v>0</v>
      </c>
      <c r="AP49" s="23">
        <v>0</v>
      </c>
      <c r="AQ49" s="24">
        <v>0</v>
      </c>
      <c r="AR49" s="28">
        <v>0</v>
      </c>
      <c r="AS49" s="23">
        <v>0</v>
      </c>
      <c r="AT49" s="24">
        <v>0</v>
      </c>
      <c r="AU49" s="28">
        <v>0</v>
      </c>
      <c r="AV49" s="23">
        <v>0</v>
      </c>
      <c r="AW49" s="23">
        <v>0</v>
      </c>
      <c r="AX49" s="23">
        <v>0</v>
      </c>
      <c r="AY49" s="24">
        <v>0</v>
      </c>
      <c r="AZ49" s="28">
        <v>0</v>
      </c>
      <c r="BA49" s="23">
        <v>0</v>
      </c>
      <c r="BB49" s="24">
        <v>0</v>
      </c>
      <c r="BC49" s="28">
        <v>0</v>
      </c>
      <c r="BD49" s="23">
        <v>0</v>
      </c>
      <c r="BE49" s="24">
        <v>0</v>
      </c>
      <c r="BF49" s="28">
        <v>0</v>
      </c>
      <c r="BG49" s="23">
        <v>0</v>
      </c>
      <c r="BH49" s="24">
        <v>0</v>
      </c>
      <c r="BI49" s="28">
        <v>0</v>
      </c>
      <c r="BJ49" s="23">
        <v>0</v>
      </c>
      <c r="BK49" s="23">
        <v>0</v>
      </c>
      <c r="BL49" s="23">
        <v>0</v>
      </c>
      <c r="BM49" s="24">
        <v>0</v>
      </c>
      <c r="BN49" s="28">
        <v>0</v>
      </c>
      <c r="BO49" s="23">
        <v>0</v>
      </c>
      <c r="BP49" s="24">
        <v>0</v>
      </c>
      <c r="BQ49" s="28">
        <v>0</v>
      </c>
      <c r="BR49" s="23">
        <v>0</v>
      </c>
      <c r="BS49" s="24">
        <v>0</v>
      </c>
      <c r="BT49" s="28">
        <v>0</v>
      </c>
      <c r="BU49" s="23">
        <v>0</v>
      </c>
      <c r="BV49" s="24">
        <v>0</v>
      </c>
      <c r="BW49" s="28">
        <v>0</v>
      </c>
      <c r="BX49" s="23">
        <v>0</v>
      </c>
      <c r="BY49" s="24">
        <v>0</v>
      </c>
      <c r="BZ49" s="28">
        <v>0</v>
      </c>
      <c r="CA49" s="23">
        <v>0</v>
      </c>
      <c r="CB49" s="24">
        <v>0</v>
      </c>
      <c r="CC49" s="28">
        <v>0</v>
      </c>
      <c r="CD49" s="23">
        <v>0</v>
      </c>
      <c r="CE49" s="24">
        <v>0</v>
      </c>
    </row>
    <row r="50" spans="1:83" x14ac:dyDescent="0.35">
      <c r="A50" s="12">
        <v>19</v>
      </c>
      <c r="B50" s="10">
        <v>11</v>
      </c>
      <c r="C50" s="12" t="str">
        <v>Sergio Perez</v>
      </c>
      <c r="D50" s="10" t="str">
        <v>Cadillac</v>
      </c>
      <c r="E50" s="2">
        <v>0</v>
      </c>
      <c r="F50" s="21">
        <v>0</v>
      </c>
      <c r="G50" s="23">
        <v>0</v>
      </c>
      <c r="H50" s="24">
        <v>0</v>
      </c>
      <c r="I50" s="28">
        <v>0</v>
      </c>
      <c r="J50" s="23">
        <v>0</v>
      </c>
      <c r="K50" s="23">
        <v>0</v>
      </c>
      <c r="L50" s="23">
        <v>0</v>
      </c>
      <c r="M50" s="24">
        <v>0</v>
      </c>
      <c r="N50" s="28">
        <v>0</v>
      </c>
      <c r="O50" s="23">
        <v>0</v>
      </c>
      <c r="P50" s="24">
        <v>0</v>
      </c>
      <c r="Q50" s="28">
        <v>0</v>
      </c>
      <c r="R50" s="23">
        <v>0</v>
      </c>
      <c r="S50" s="23">
        <v>0</v>
      </c>
      <c r="T50" s="23">
        <v>0</v>
      </c>
      <c r="U50" s="24">
        <v>0</v>
      </c>
      <c r="V50" s="28">
        <v>0</v>
      </c>
      <c r="W50" s="23">
        <v>0</v>
      </c>
      <c r="X50" s="23">
        <v>0</v>
      </c>
      <c r="Y50" s="23">
        <v>0</v>
      </c>
      <c r="Z50" s="24">
        <v>0</v>
      </c>
      <c r="AA50" s="28">
        <v>0</v>
      </c>
      <c r="AB50" s="23">
        <v>0</v>
      </c>
      <c r="AC50" s="24">
        <v>0</v>
      </c>
      <c r="AD50" s="28">
        <v>0</v>
      </c>
      <c r="AE50" s="23">
        <v>0</v>
      </c>
      <c r="AF50" s="24">
        <v>0</v>
      </c>
      <c r="AG50" s="28">
        <v>0</v>
      </c>
      <c r="AH50" s="23">
        <v>0</v>
      </c>
      <c r="AI50" s="24">
        <v>0</v>
      </c>
      <c r="AJ50" s="28">
        <v>0</v>
      </c>
      <c r="AK50" s="23">
        <v>0</v>
      </c>
      <c r="AL50" s="23">
        <v>0</v>
      </c>
      <c r="AM50" s="23">
        <v>0</v>
      </c>
      <c r="AN50" s="24">
        <v>0</v>
      </c>
      <c r="AO50" s="28">
        <v>0</v>
      </c>
      <c r="AP50" s="23">
        <v>0</v>
      </c>
      <c r="AQ50" s="24">
        <v>0</v>
      </c>
      <c r="AR50" s="28">
        <v>0</v>
      </c>
      <c r="AS50" s="23">
        <v>0</v>
      </c>
      <c r="AT50" s="24">
        <v>0</v>
      </c>
      <c r="AU50" s="28">
        <v>0</v>
      </c>
      <c r="AV50" s="23">
        <v>0</v>
      </c>
      <c r="AW50" s="23">
        <v>0</v>
      </c>
      <c r="AX50" s="23">
        <v>0</v>
      </c>
      <c r="AY50" s="24">
        <v>0</v>
      </c>
      <c r="AZ50" s="28">
        <v>0</v>
      </c>
      <c r="BA50" s="23">
        <v>0</v>
      </c>
      <c r="BB50" s="24">
        <v>0</v>
      </c>
      <c r="BC50" s="28">
        <v>0</v>
      </c>
      <c r="BD50" s="23">
        <v>0</v>
      </c>
      <c r="BE50" s="24">
        <v>0</v>
      </c>
      <c r="BF50" s="28">
        <v>0</v>
      </c>
      <c r="BG50" s="23">
        <v>0</v>
      </c>
      <c r="BH50" s="24">
        <v>0</v>
      </c>
      <c r="BI50" s="28">
        <v>0</v>
      </c>
      <c r="BJ50" s="23">
        <v>0</v>
      </c>
      <c r="BK50" s="23">
        <v>0</v>
      </c>
      <c r="BL50" s="23">
        <v>0</v>
      </c>
      <c r="BM50" s="24">
        <v>0</v>
      </c>
      <c r="BN50" s="28">
        <v>0</v>
      </c>
      <c r="BO50" s="23">
        <v>0</v>
      </c>
      <c r="BP50" s="24">
        <v>0</v>
      </c>
      <c r="BQ50" s="28">
        <v>0</v>
      </c>
      <c r="BR50" s="23">
        <v>0</v>
      </c>
      <c r="BS50" s="24">
        <v>0</v>
      </c>
      <c r="BT50" s="28">
        <v>0</v>
      </c>
      <c r="BU50" s="23">
        <v>0</v>
      </c>
      <c r="BV50" s="24">
        <v>0</v>
      </c>
      <c r="BW50" s="28">
        <v>0</v>
      </c>
      <c r="BX50" s="23">
        <v>0</v>
      </c>
      <c r="BY50" s="24">
        <v>0</v>
      </c>
      <c r="BZ50" s="28">
        <v>0</v>
      </c>
      <c r="CA50" s="23">
        <v>0</v>
      </c>
      <c r="CB50" s="24">
        <v>0</v>
      </c>
      <c r="CC50" s="28">
        <v>0</v>
      </c>
      <c r="CD50" s="23">
        <v>0</v>
      </c>
      <c r="CE50" s="24">
        <v>0</v>
      </c>
    </row>
    <row r="51" spans="1:83" x14ac:dyDescent="0.35">
      <c r="A51" s="12">
        <v>20</v>
      </c>
      <c r="B51" s="10">
        <v>77</v>
      </c>
      <c r="C51" s="12" t="str">
        <v>Valtteri Bottas</v>
      </c>
      <c r="D51" s="10" t="str">
        <v>Cadillac</v>
      </c>
      <c r="E51" s="2">
        <v>0</v>
      </c>
      <c r="F51" s="21">
        <v>0</v>
      </c>
      <c r="G51" s="23">
        <v>0</v>
      </c>
      <c r="H51" s="24">
        <v>0</v>
      </c>
      <c r="I51" s="28">
        <v>0</v>
      </c>
      <c r="J51" s="23">
        <v>0</v>
      </c>
      <c r="K51" s="23">
        <v>0</v>
      </c>
      <c r="L51" s="23">
        <v>0</v>
      </c>
      <c r="M51" s="24">
        <v>0</v>
      </c>
      <c r="N51" s="28">
        <v>0</v>
      </c>
      <c r="O51" s="23">
        <v>0</v>
      </c>
      <c r="P51" s="24">
        <v>0</v>
      </c>
      <c r="Q51" s="28">
        <v>0</v>
      </c>
      <c r="R51" s="23">
        <v>0</v>
      </c>
      <c r="S51" s="23">
        <v>0</v>
      </c>
      <c r="T51" s="23">
        <v>0</v>
      </c>
      <c r="U51" s="24">
        <v>0</v>
      </c>
      <c r="V51" s="28">
        <v>0</v>
      </c>
      <c r="W51" s="23">
        <v>0</v>
      </c>
      <c r="X51" s="23">
        <v>0</v>
      </c>
      <c r="Y51" s="23">
        <v>0</v>
      </c>
      <c r="Z51" s="24">
        <v>0</v>
      </c>
      <c r="AA51" s="28">
        <v>0</v>
      </c>
      <c r="AB51" s="23">
        <v>0</v>
      </c>
      <c r="AC51" s="24">
        <v>0</v>
      </c>
      <c r="AD51" s="28">
        <v>0</v>
      </c>
      <c r="AE51" s="23">
        <v>0</v>
      </c>
      <c r="AF51" s="24">
        <v>0</v>
      </c>
      <c r="AG51" s="28">
        <v>0</v>
      </c>
      <c r="AH51" s="23">
        <v>0</v>
      </c>
      <c r="AI51" s="24">
        <v>0</v>
      </c>
      <c r="AJ51" s="28">
        <v>0</v>
      </c>
      <c r="AK51" s="23">
        <v>0</v>
      </c>
      <c r="AL51" s="23">
        <v>0</v>
      </c>
      <c r="AM51" s="23">
        <v>0</v>
      </c>
      <c r="AN51" s="24">
        <v>0</v>
      </c>
      <c r="AO51" s="28">
        <v>0</v>
      </c>
      <c r="AP51" s="23">
        <v>0</v>
      </c>
      <c r="AQ51" s="24">
        <v>0</v>
      </c>
      <c r="AR51" s="28">
        <v>0</v>
      </c>
      <c r="AS51" s="23">
        <v>0</v>
      </c>
      <c r="AT51" s="24">
        <v>0</v>
      </c>
      <c r="AU51" s="28">
        <v>0</v>
      </c>
      <c r="AV51" s="23">
        <v>0</v>
      </c>
      <c r="AW51" s="23">
        <v>0</v>
      </c>
      <c r="AX51" s="23">
        <v>0</v>
      </c>
      <c r="AY51" s="24">
        <v>0</v>
      </c>
      <c r="AZ51" s="28">
        <v>0</v>
      </c>
      <c r="BA51" s="23">
        <v>0</v>
      </c>
      <c r="BB51" s="24">
        <v>0</v>
      </c>
      <c r="BC51" s="28">
        <v>0</v>
      </c>
      <c r="BD51" s="23">
        <v>0</v>
      </c>
      <c r="BE51" s="24">
        <v>0</v>
      </c>
      <c r="BF51" s="28">
        <v>0</v>
      </c>
      <c r="BG51" s="23">
        <v>0</v>
      </c>
      <c r="BH51" s="24">
        <v>0</v>
      </c>
      <c r="BI51" s="28">
        <v>0</v>
      </c>
      <c r="BJ51" s="23">
        <v>0</v>
      </c>
      <c r="BK51" s="23">
        <v>0</v>
      </c>
      <c r="BL51" s="23">
        <v>0</v>
      </c>
      <c r="BM51" s="24">
        <v>0</v>
      </c>
      <c r="BN51" s="28">
        <v>0</v>
      </c>
      <c r="BO51" s="23">
        <v>0</v>
      </c>
      <c r="BP51" s="24">
        <v>0</v>
      </c>
      <c r="BQ51" s="28">
        <v>0</v>
      </c>
      <c r="BR51" s="23">
        <v>0</v>
      </c>
      <c r="BS51" s="24">
        <v>0</v>
      </c>
      <c r="BT51" s="28">
        <v>0</v>
      </c>
      <c r="BU51" s="23">
        <v>0</v>
      </c>
      <c r="BV51" s="24">
        <v>0</v>
      </c>
      <c r="BW51" s="28">
        <v>0</v>
      </c>
      <c r="BX51" s="23">
        <v>0</v>
      </c>
      <c r="BY51" s="24">
        <v>0</v>
      </c>
      <c r="BZ51" s="28">
        <v>0</v>
      </c>
      <c r="CA51" s="23">
        <v>0</v>
      </c>
      <c r="CB51" s="24">
        <v>0</v>
      </c>
      <c r="CC51" s="28">
        <v>0</v>
      </c>
      <c r="CD51" s="23">
        <v>0</v>
      </c>
      <c r="CE51" s="24">
        <v>0</v>
      </c>
    </row>
    <row r="52" spans="1:83" x14ac:dyDescent="0.35">
      <c r="A52" s="12">
        <v>21</v>
      </c>
      <c r="B52" s="11">
        <v>14</v>
      </c>
      <c r="C52" s="12" t="str">
        <v>Fernando Alonso</v>
      </c>
      <c r="D52" s="11" t="str">
        <v>Aston Martin</v>
      </c>
      <c r="E52" s="2">
        <v>0</v>
      </c>
      <c r="F52" s="21">
        <v>0</v>
      </c>
      <c r="G52" s="23">
        <v>0</v>
      </c>
      <c r="H52" s="24">
        <v>0</v>
      </c>
      <c r="I52" s="28">
        <v>0</v>
      </c>
      <c r="J52" s="23">
        <v>0</v>
      </c>
      <c r="K52" s="23">
        <v>0</v>
      </c>
      <c r="L52" s="23">
        <v>0</v>
      </c>
      <c r="M52" s="24">
        <v>0</v>
      </c>
      <c r="N52" s="28">
        <v>0</v>
      </c>
      <c r="O52" s="23">
        <v>0</v>
      </c>
      <c r="P52" s="24">
        <v>0</v>
      </c>
      <c r="Q52" s="28">
        <v>0</v>
      </c>
      <c r="R52" s="23">
        <v>0</v>
      </c>
      <c r="S52" s="23">
        <v>0</v>
      </c>
      <c r="T52" s="23">
        <v>0</v>
      </c>
      <c r="U52" s="24">
        <v>0</v>
      </c>
      <c r="V52" s="28">
        <v>0</v>
      </c>
      <c r="W52" s="23">
        <v>0</v>
      </c>
      <c r="X52" s="23">
        <v>0</v>
      </c>
      <c r="Y52" s="23">
        <v>0</v>
      </c>
      <c r="Z52" s="24">
        <v>0</v>
      </c>
      <c r="AA52" s="28">
        <v>0</v>
      </c>
      <c r="AB52" s="23">
        <v>0</v>
      </c>
      <c r="AC52" s="24">
        <v>0</v>
      </c>
      <c r="AD52" s="28">
        <v>0</v>
      </c>
      <c r="AE52" s="23">
        <v>0</v>
      </c>
      <c r="AF52" s="24">
        <v>0</v>
      </c>
      <c r="AG52" s="28">
        <v>0</v>
      </c>
      <c r="AH52" s="23">
        <v>0</v>
      </c>
      <c r="AI52" s="24">
        <v>0</v>
      </c>
      <c r="AJ52" s="28">
        <v>0</v>
      </c>
      <c r="AK52" s="23">
        <v>0</v>
      </c>
      <c r="AL52" s="23">
        <v>0</v>
      </c>
      <c r="AM52" s="23">
        <v>0</v>
      </c>
      <c r="AN52" s="24">
        <v>0</v>
      </c>
      <c r="AO52" s="28">
        <v>0</v>
      </c>
      <c r="AP52" s="23">
        <v>0</v>
      </c>
      <c r="AQ52" s="24">
        <v>0</v>
      </c>
      <c r="AR52" s="28">
        <v>0</v>
      </c>
      <c r="AS52" s="23">
        <v>0</v>
      </c>
      <c r="AT52" s="24">
        <v>0</v>
      </c>
      <c r="AU52" s="28">
        <v>0</v>
      </c>
      <c r="AV52" s="23">
        <v>0</v>
      </c>
      <c r="AW52" s="23">
        <v>0</v>
      </c>
      <c r="AX52" s="23">
        <v>0</v>
      </c>
      <c r="AY52" s="24">
        <v>0</v>
      </c>
      <c r="AZ52" s="28">
        <v>0</v>
      </c>
      <c r="BA52" s="23">
        <v>0</v>
      </c>
      <c r="BB52" s="24">
        <v>0</v>
      </c>
      <c r="BC52" s="28">
        <v>0</v>
      </c>
      <c r="BD52" s="23">
        <v>0</v>
      </c>
      <c r="BE52" s="24">
        <v>0</v>
      </c>
      <c r="BF52" s="28">
        <v>0</v>
      </c>
      <c r="BG52" s="23">
        <v>0</v>
      </c>
      <c r="BH52" s="24">
        <v>0</v>
      </c>
      <c r="BI52" s="28">
        <v>0</v>
      </c>
      <c r="BJ52" s="23">
        <v>0</v>
      </c>
      <c r="BK52" s="23">
        <v>0</v>
      </c>
      <c r="BL52" s="23">
        <v>0</v>
      </c>
      <c r="BM52" s="24">
        <v>0</v>
      </c>
      <c r="BN52" s="28">
        <v>0</v>
      </c>
      <c r="BO52" s="23">
        <v>0</v>
      </c>
      <c r="BP52" s="24">
        <v>0</v>
      </c>
      <c r="BQ52" s="28">
        <v>0</v>
      </c>
      <c r="BR52" s="23">
        <v>0</v>
      </c>
      <c r="BS52" s="24">
        <v>0</v>
      </c>
      <c r="BT52" s="28">
        <v>0</v>
      </c>
      <c r="BU52" s="23">
        <v>0</v>
      </c>
      <c r="BV52" s="24">
        <v>0</v>
      </c>
      <c r="BW52" s="28">
        <v>0</v>
      </c>
      <c r="BX52" s="23">
        <v>0</v>
      </c>
      <c r="BY52" s="24">
        <v>0</v>
      </c>
      <c r="BZ52" s="28">
        <v>0</v>
      </c>
      <c r="CA52" s="23">
        <v>0</v>
      </c>
      <c r="CB52" s="24">
        <v>0</v>
      </c>
      <c r="CC52" s="28">
        <v>0</v>
      </c>
      <c r="CD52" s="23">
        <v>0</v>
      </c>
      <c r="CE52" s="24">
        <v>0</v>
      </c>
    </row>
    <row r="53" spans="1:83" x14ac:dyDescent="0.35">
      <c r="A53" s="12">
        <v>22</v>
      </c>
      <c r="B53" s="11">
        <v>18</v>
      </c>
      <c r="C53" s="12" t="str">
        <v>Lance Stroll</v>
      </c>
      <c r="D53" s="11" t="str">
        <v>Aston Martin</v>
      </c>
      <c r="E53" s="2">
        <v>0</v>
      </c>
      <c r="F53" s="21">
        <v>0</v>
      </c>
      <c r="G53" s="23">
        <v>0</v>
      </c>
      <c r="H53" s="24">
        <v>0</v>
      </c>
      <c r="I53" s="28">
        <v>0</v>
      </c>
      <c r="J53" s="23">
        <v>0</v>
      </c>
      <c r="K53" s="23">
        <v>0</v>
      </c>
      <c r="L53" s="23">
        <v>0</v>
      </c>
      <c r="M53" s="24">
        <v>0</v>
      </c>
      <c r="N53" s="28">
        <v>0</v>
      </c>
      <c r="O53" s="23">
        <v>0</v>
      </c>
      <c r="P53" s="24">
        <v>0</v>
      </c>
      <c r="Q53" s="28">
        <v>0</v>
      </c>
      <c r="R53" s="23">
        <v>0</v>
      </c>
      <c r="S53" s="23">
        <v>0</v>
      </c>
      <c r="T53" s="23">
        <v>0</v>
      </c>
      <c r="U53" s="24">
        <v>0</v>
      </c>
      <c r="V53" s="28">
        <v>0</v>
      </c>
      <c r="W53" s="23">
        <v>0</v>
      </c>
      <c r="X53" s="23">
        <v>0</v>
      </c>
      <c r="Y53" s="23">
        <v>0</v>
      </c>
      <c r="Z53" s="24">
        <v>0</v>
      </c>
      <c r="AA53" s="28">
        <v>0</v>
      </c>
      <c r="AB53" s="23">
        <v>0</v>
      </c>
      <c r="AC53" s="24">
        <v>0</v>
      </c>
      <c r="AD53" s="28">
        <v>0</v>
      </c>
      <c r="AE53" s="23">
        <v>0</v>
      </c>
      <c r="AF53" s="24">
        <v>0</v>
      </c>
      <c r="AG53" s="28">
        <v>0</v>
      </c>
      <c r="AH53" s="23">
        <v>0</v>
      </c>
      <c r="AI53" s="24">
        <v>0</v>
      </c>
      <c r="AJ53" s="28">
        <v>0</v>
      </c>
      <c r="AK53" s="23">
        <v>0</v>
      </c>
      <c r="AL53" s="23">
        <v>0</v>
      </c>
      <c r="AM53" s="23">
        <v>0</v>
      </c>
      <c r="AN53" s="24">
        <v>0</v>
      </c>
      <c r="AO53" s="28">
        <v>0</v>
      </c>
      <c r="AP53" s="23">
        <v>0</v>
      </c>
      <c r="AQ53" s="24">
        <v>0</v>
      </c>
      <c r="AR53" s="28">
        <v>0</v>
      </c>
      <c r="AS53" s="23">
        <v>0</v>
      </c>
      <c r="AT53" s="24">
        <v>0</v>
      </c>
      <c r="AU53" s="28">
        <v>0</v>
      </c>
      <c r="AV53" s="23">
        <v>0</v>
      </c>
      <c r="AW53" s="23">
        <v>0</v>
      </c>
      <c r="AX53" s="23">
        <v>0</v>
      </c>
      <c r="AY53" s="24">
        <v>0</v>
      </c>
      <c r="AZ53" s="28">
        <v>0</v>
      </c>
      <c r="BA53" s="23">
        <v>0</v>
      </c>
      <c r="BB53" s="24">
        <v>0</v>
      </c>
      <c r="BC53" s="28">
        <v>0</v>
      </c>
      <c r="BD53" s="23">
        <v>0</v>
      </c>
      <c r="BE53" s="24">
        <v>0</v>
      </c>
      <c r="BF53" s="28">
        <v>0</v>
      </c>
      <c r="BG53" s="23">
        <v>0</v>
      </c>
      <c r="BH53" s="24">
        <v>0</v>
      </c>
      <c r="BI53" s="28">
        <v>0</v>
      </c>
      <c r="BJ53" s="23">
        <v>0</v>
      </c>
      <c r="BK53" s="23">
        <v>0</v>
      </c>
      <c r="BL53" s="23">
        <v>0</v>
      </c>
      <c r="BM53" s="24">
        <v>0</v>
      </c>
      <c r="BN53" s="28">
        <v>0</v>
      </c>
      <c r="BO53" s="23">
        <v>0</v>
      </c>
      <c r="BP53" s="24">
        <v>0</v>
      </c>
      <c r="BQ53" s="28">
        <v>0</v>
      </c>
      <c r="BR53" s="23">
        <v>0</v>
      </c>
      <c r="BS53" s="24">
        <v>0</v>
      </c>
      <c r="BT53" s="28">
        <v>0</v>
      </c>
      <c r="BU53" s="23">
        <v>0</v>
      </c>
      <c r="BV53" s="24">
        <v>0</v>
      </c>
      <c r="BW53" s="28">
        <v>0</v>
      </c>
      <c r="BX53" s="23">
        <v>0</v>
      </c>
      <c r="BY53" s="24">
        <v>0</v>
      </c>
      <c r="BZ53" s="28">
        <v>0</v>
      </c>
      <c r="CA53" s="23">
        <v>0</v>
      </c>
      <c r="CB53" s="24">
        <v>0</v>
      </c>
      <c r="CC53" s="28">
        <v>0</v>
      </c>
      <c r="CD53" s="23">
        <v>0</v>
      </c>
      <c r="CE53" s="24">
        <v>0</v>
      </c>
    </row>
    <row r="56" spans="1:83" x14ac:dyDescent="0.35">
      <c r="K56" s="19"/>
      <c r="L56" s="19"/>
    </row>
    <row r="57" spans="1:83" x14ac:dyDescent="0.35">
      <c r="K57" s="19"/>
      <c r="L57" s="19"/>
    </row>
    <row r="58" spans="1:83" x14ac:dyDescent="0.35">
      <c r="K58" s="19"/>
      <c r="L58" s="19"/>
    </row>
    <row r="59" spans="1:83" x14ac:dyDescent="0.35">
      <c r="K59" s="19"/>
      <c r="L59" s="19"/>
    </row>
    <row r="60" spans="1:83" x14ac:dyDescent="0.35">
      <c r="K60" s="19"/>
      <c r="L60" s="19"/>
    </row>
    <row r="61" spans="1:83" x14ac:dyDescent="0.35">
      <c r="K61" s="19"/>
      <c r="L61" s="20"/>
    </row>
  </sheetData>
  <mergeCells count="99">
    <mergeCell ref="AA4:AC4"/>
    <mergeCell ref="AD4:AF4"/>
    <mergeCell ref="AG4:AI4"/>
    <mergeCell ref="AJ4:AN4"/>
    <mergeCell ref="AO4:AQ4"/>
    <mergeCell ref="A1:E2"/>
    <mergeCell ref="Q3:U3"/>
    <mergeCell ref="A4:A5"/>
    <mergeCell ref="B4:B5"/>
    <mergeCell ref="C4:C5"/>
    <mergeCell ref="D4:D5"/>
    <mergeCell ref="E4:E5"/>
    <mergeCell ref="F3:H3"/>
    <mergeCell ref="AR29:AT29"/>
    <mergeCell ref="F29:H29"/>
    <mergeCell ref="I29:M29"/>
    <mergeCell ref="N29:P29"/>
    <mergeCell ref="Q29:U29"/>
    <mergeCell ref="V29:Z29"/>
    <mergeCell ref="V4:Z4"/>
    <mergeCell ref="AG3:AI3"/>
    <mergeCell ref="AJ3:AN3"/>
    <mergeCell ref="AO3:AQ3"/>
    <mergeCell ref="AR3:AT3"/>
    <mergeCell ref="I4:M4"/>
    <mergeCell ref="F4:H4"/>
    <mergeCell ref="N4:P4"/>
    <mergeCell ref="Q4:U4"/>
    <mergeCell ref="BW3:BY3"/>
    <mergeCell ref="BZ3:CB3"/>
    <mergeCell ref="CC3:CE3"/>
    <mergeCell ref="I3:M3"/>
    <mergeCell ref="N3:P3"/>
    <mergeCell ref="V3:Z3"/>
    <mergeCell ref="AA3:AC3"/>
    <mergeCell ref="AD3:AF3"/>
    <mergeCell ref="BT3:BV3"/>
    <mergeCell ref="AU3:AY3"/>
    <mergeCell ref="AZ3:BB3"/>
    <mergeCell ref="BC3:BE3"/>
    <mergeCell ref="BF3:BH3"/>
    <mergeCell ref="BI3:BM3"/>
    <mergeCell ref="BN3:BP3"/>
    <mergeCell ref="BQ3:BS3"/>
    <mergeCell ref="CC4:CE4"/>
    <mergeCell ref="AR4:AT4"/>
    <mergeCell ref="AU4:AY4"/>
    <mergeCell ref="AZ4:BB4"/>
    <mergeCell ref="BC4:BE4"/>
    <mergeCell ref="BF4:BH4"/>
    <mergeCell ref="BI4:BM4"/>
    <mergeCell ref="BN4:BP4"/>
    <mergeCell ref="BQ4:BS4"/>
    <mergeCell ref="BT4:BV4"/>
    <mergeCell ref="BW4:BY4"/>
    <mergeCell ref="BZ4:CB4"/>
    <mergeCell ref="BQ29:BS29"/>
    <mergeCell ref="BT29:BV29"/>
    <mergeCell ref="AG29:AI29"/>
    <mergeCell ref="AJ29:AN29"/>
    <mergeCell ref="AO29:AQ29"/>
    <mergeCell ref="BW29:BY29"/>
    <mergeCell ref="BZ29:CB29"/>
    <mergeCell ref="CC29:CE29"/>
    <mergeCell ref="A30:A31"/>
    <mergeCell ref="B30:B31"/>
    <mergeCell ref="C30:C31"/>
    <mergeCell ref="D30:D31"/>
    <mergeCell ref="E30:E31"/>
    <mergeCell ref="AU29:AY29"/>
    <mergeCell ref="AZ29:BB29"/>
    <mergeCell ref="BC29:BE29"/>
    <mergeCell ref="BF29:BH29"/>
    <mergeCell ref="BI29:BM29"/>
    <mergeCell ref="BN29:BP29"/>
    <mergeCell ref="AA29:AC29"/>
    <mergeCell ref="AD29:AF29"/>
    <mergeCell ref="CC30:CE30"/>
    <mergeCell ref="AZ30:BB30"/>
    <mergeCell ref="BC30:BE30"/>
    <mergeCell ref="BF30:BH30"/>
    <mergeCell ref="BI30:BM30"/>
    <mergeCell ref="BN30:BP30"/>
    <mergeCell ref="BQ30:BS30"/>
    <mergeCell ref="BT30:BV30"/>
    <mergeCell ref="F30:H30"/>
    <mergeCell ref="I30:M30"/>
    <mergeCell ref="N30:P30"/>
    <mergeCell ref="BW30:BY30"/>
    <mergeCell ref="BZ30:CB30"/>
    <mergeCell ref="Q30:U30"/>
    <mergeCell ref="V30:Z30"/>
    <mergeCell ref="AA30:AC30"/>
    <mergeCell ref="AD30:AF30"/>
    <mergeCell ref="AG30:AI30"/>
    <mergeCell ref="AJ30:AN30"/>
    <mergeCell ref="AO30:AQ30"/>
    <mergeCell ref="AR30:AT30"/>
    <mergeCell ref="AU30:AY30"/>
  </mergeCells>
  <conditionalFormatting sqref="B6:B27 D6:D27 B32:B53 D32:D53">
    <cfRule type="expression" dxfId="65" priority="329">
      <formula>$D6="Williams"</formula>
    </cfRule>
    <cfRule type="expression" dxfId="64" priority="330">
      <formula>$D6="Audi"</formula>
    </cfRule>
    <cfRule type="expression" dxfId="63" priority="331">
      <formula>$D6="Cadillac"</formula>
    </cfRule>
    <cfRule type="expression" dxfId="62" priority="332">
      <formula>$D6="Aston Martin"</formula>
    </cfRule>
    <cfRule type="expression" dxfId="61" priority="333">
      <formula>$D6="Mercedes"</formula>
    </cfRule>
    <cfRule type="expression" dxfId="60" priority="334">
      <formula>$D6="Ferrari"</formula>
    </cfRule>
    <cfRule type="expression" dxfId="59" priority="335">
      <formula>$D6="McLaren"</formula>
    </cfRule>
    <cfRule type="expression" dxfId="58" priority="336">
      <formula>$D6="Red Bull"</formula>
    </cfRule>
    <cfRule type="expression" dxfId="57" priority="337">
      <formula>$D6="Alpine"</formula>
    </cfRule>
    <cfRule type="expression" dxfId="56" priority="338">
      <formula>$D6="Racing Bulls"</formula>
    </cfRule>
    <cfRule type="expression" dxfId="55" priority="339">
      <formula>$D6="Haas"</formula>
    </cfRule>
  </conditionalFormatting>
  <conditionalFormatting sqref="E32:E53">
    <cfRule type="colorScale" priority="340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E6:CE27 M28">
    <cfRule type="colorScale" priority="341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F32:P53 AA32:AT53 AZ32:BH53 BN32:CE53">
    <cfRule type="colorScale" priority="272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Q32:Z53">
    <cfRule type="colorScale" priority="271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AU32:AY53">
    <cfRule type="colorScale" priority="270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BI32:BM53">
    <cfRule type="colorScale" priority="269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A54E0-3364-4CB2-A64A-1895CF467E9B}">
  <dimension ref="A1:O23"/>
  <sheetViews>
    <sheetView zoomScale="85" zoomScaleNormal="85" workbookViewId="0">
      <selection activeCell="O23" sqref="O23"/>
    </sheetView>
  </sheetViews>
  <sheetFormatPr defaultRowHeight="14.5" x14ac:dyDescent="0.35"/>
  <cols>
    <col min="1" max="2" width="5" customWidth="1"/>
    <col min="3" max="3" width="15.1796875" customWidth="1"/>
    <col min="4" max="4" width="12.7265625" customWidth="1"/>
    <col min="5" max="8" width="5" customWidth="1"/>
    <col min="9" max="9" width="15.1796875" customWidth="1"/>
    <col min="10" max="10" width="12.7265625" customWidth="1"/>
    <col min="11" max="13" width="5" customWidth="1"/>
    <col min="14" max="14" width="13.453125" customWidth="1"/>
    <col min="15" max="15" width="5" customWidth="1"/>
  </cols>
  <sheetData>
    <row r="1" spans="1:15" x14ac:dyDescent="0.35">
      <c r="A1" s="30" t="s">
        <v>0</v>
      </c>
      <c r="B1" s="30" t="s">
        <v>63</v>
      </c>
      <c r="C1" s="30" t="s">
        <v>1</v>
      </c>
      <c r="D1" s="30" t="s">
        <v>2</v>
      </c>
      <c r="E1" s="30" t="s">
        <v>3</v>
      </c>
      <c r="G1" s="12" t="s">
        <v>65</v>
      </c>
      <c r="H1" s="12" t="s">
        <v>63</v>
      </c>
      <c r="I1" s="12" t="s">
        <v>1</v>
      </c>
      <c r="J1" s="12" t="s">
        <v>2</v>
      </c>
      <c r="K1" s="12" t="s">
        <v>3</v>
      </c>
      <c r="M1" s="12"/>
      <c r="N1" s="12" t="s">
        <v>65</v>
      </c>
      <c r="O1" s="12"/>
    </row>
    <row r="2" spans="1:15" x14ac:dyDescent="0.35">
      <c r="A2" s="12">
        <v>1</v>
      </c>
      <c r="B2" s="18" cm="1">
        <f t="array" ref="B2:E23">_xlfn._xlws.SORT(Ratings!B6:E27,4,-1)</f>
        <v>1</v>
      </c>
      <c r="C2" s="12" t="str">
        <v>Lando Norris</v>
      </c>
      <c r="D2" s="18" t="str">
        <v>McLaren</v>
      </c>
      <c r="E2" s="2">
        <v>8.6859999999999999</v>
      </c>
      <c r="G2" s="45">
        <f>K2-K3</f>
        <v>0</v>
      </c>
      <c r="H2" s="18">
        <v>63</v>
      </c>
      <c r="I2" s="12" t="s">
        <v>42</v>
      </c>
      <c r="J2" s="18" t="s">
        <v>31</v>
      </c>
      <c r="K2" s="2">
        <f>Ratings!E6</f>
        <v>0</v>
      </c>
      <c r="M2" s="18">
        <v>63</v>
      </c>
      <c r="N2" s="29">
        <f>Simplified!G2</f>
        <v>0</v>
      </c>
      <c r="O2" s="18">
        <v>12</v>
      </c>
    </row>
    <row r="3" spans="1:15" x14ac:dyDescent="0.35">
      <c r="A3" s="12">
        <v>2</v>
      </c>
      <c r="B3" s="18">
        <v>81</v>
      </c>
      <c r="C3" s="12" t="str">
        <v>Oscar Piastri</v>
      </c>
      <c r="D3" s="18" t="str">
        <v>McLaren</v>
      </c>
      <c r="E3" s="2">
        <v>5.827</v>
      </c>
      <c r="G3" s="45"/>
      <c r="H3" s="18">
        <v>12</v>
      </c>
      <c r="I3" s="12" t="s">
        <v>41</v>
      </c>
      <c r="J3" s="18" t="s">
        <v>31</v>
      </c>
      <c r="K3" s="2">
        <f>Ratings!E7</f>
        <v>0</v>
      </c>
      <c r="M3" s="1">
        <v>1</v>
      </c>
      <c r="N3" s="29">
        <f>Simplified!G4</f>
        <v>2.859</v>
      </c>
      <c r="O3" s="1">
        <v>81</v>
      </c>
    </row>
    <row r="4" spans="1:15" x14ac:dyDescent="0.35">
      <c r="A4" s="12">
        <v>3</v>
      </c>
      <c r="B4" s="1">
        <v>63</v>
      </c>
      <c r="C4" s="12" t="str">
        <v>George Russell</v>
      </c>
      <c r="D4" s="1" t="str">
        <v>Mercedes</v>
      </c>
      <c r="E4" s="2">
        <v>0</v>
      </c>
      <c r="G4" s="45">
        <f>K4-K5</f>
        <v>2.859</v>
      </c>
      <c r="H4" s="1">
        <v>1</v>
      </c>
      <c r="I4" s="12" t="s">
        <v>43</v>
      </c>
      <c r="J4" s="1" t="s">
        <v>30</v>
      </c>
      <c r="K4" s="2">
        <f>Ratings!E8</f>
        <v>8.6859999999999999</v>
      </c>
      <c r="M4" s="3">
        <v>16</v>
      </c>
      <c r="N4" s="29">
        <f>Simplified!G6</f>
        <v>0</v>
      </c>
      <c r="O4" s="3">
        <v>44</v>
      </c>
    </row>
    <row r="5" spans="1:15" x14ac:dyDescent="0.35">
      <c r="A5" s="12">
        <v>4</v>
      </c>
      <c r="B5" s="1">
        <v>12</v>
      </c>
      <c r="C5" s="12" t="str">
        <v>Kimi Antonelli</v>
      </c>
      <c r="D5" s="1" t="str">
        <v>Mercedes</v>
      </c>
      <c r="E5" s="2">
        <v>0</v>
      </c>
      <c r="G5" s="45"/>
      <c r="H5" s="1">
        <v>81</v>
      </c>
      <c r="I5" s="12" t="s">
        <v>44</v>
      </c>
      <c r="J5" s="1" t="s">
        <v>30</v>
      </c>
      <c r="K5" s="2">
        <f>Ratings!E9</f>
        <v>5.827</v>
      </c>
      <c r="M5" s="4">
        <v>3</v>
      </c>
      <c r="N5" s="29">
        <f>Simplified!G8</f>
        <v>0</v>
      </c>
      <c r="O5" s="4">
        <v>6</v>
      </c>
    </row>
    <row r="6" spans="1:15" x14ac:dyDescent="0.35">
      <c r="A6" s="12">
        <v>5</v>
      </c>
      <c r="B6" s="3">
        <v>16</v>
      </c>
      <c r="C6" s="12" t="str">
        <v>Charles Leclerc</v>
      </c>
      <c r="D6" s="3" t="str">
        <v>Ferrari</v>
      </c>
      <c r="E6" s="2">
        <v>0</v>
      </c>
      <c r="G6" s="45">
        <f>K6-K7</f>
        <v>0</v>
      </c>
      <c r="H6" s="3">
        <v>16</v>
      </c>
      <c r="I6" s="12" t="s">
        <v>45</v>
      </c>
      <c r="J6" s="3" t="s">
        <v>32</v>
      </c>
      <c r="K6" s="2">
        <f>Ratings!E10</f>
        <v>0</v>
      </c>
      <c r="M6" s="5">
        <v>10</v>
      </c>
      <c r="N6" s="29">
        <f>Simplified!G10</f>
        <v>0</v>
      </c>
      <c r="O6" s="5">
        <v>43</v>
      </c>
    </row>
    <row r="7" spans="1:15" x14ac:dyDescent="0.35">
      <c r="A7" s="12">
        <v>6</v>
      </c>
      <c r="B7" s="3">
        <v>44</v>
      </c>
      <c r="C7" s="12" t="str">
        <v>Lewis Hamilton</v>
      </c>
      <c r="D7" s="3" t="str">
        <v>Ferrari</v>
      </c>
      <c r="E7" s="2">
        <v>0</v>
      </c>
      <c r="G7" s="45"/>
      <c r="H7" s="3">
        <v>44</v>
      </c>
      <c r="I7" s="12" t="s">
        <v>46</v>
      </c>
      <c r="J7" s="3" t="s">
        <v>32</v>
      </c>
      <c r="K7" s="2">
        <f>Ratings!E11</f>
        <v>0</v>
      </c>
      <c r="M7" s="6">
        <v>30</v>
      </c>
      <c r="N7" s="29">
        <f>Simplified!G12</f>
        <v>0</v>
      </c>
      <c r="O7" s="6">
        <v>41</v>
      </c>
    </row>
    <row r="8" spans="1:15" x14ac:dyDescent="0.35">
      <c r="A8" s="12">
        <v>7</v>
      </c>
      <c r="B8" s="4">
        <v>3</v>
      </c>
      <c r="C8" s="12" t="str">
        <v>Max Verstappen</v>
      </c>
      <c r="D8" s="4" t="str">
        <v>Red Bull</v>
      </c>
      <c r="E8" s="2">
        <v>0</v>
      </c>
      <c r="G8" s="45">
        <f>K8-K9</f>
        <v>0</v>
      </c>
      <c r="H8" s="4">
        <v>3</v>
      </c>
      <c r="I8" s="12" t="s">
        <v>47</v>
      </c>
      <c r="J8" s="4" t="s">
        <v>33</v>
      </c>
      <c r="K8" s="2">
        <f>Ratings!E12</f>
        <v>0</v>
      </c>
      <c r="M8" s="7">
        <v>31</v>
      </c>
      <c r="N8" s="29">
        <f>Simplified!G14</f>
        <v>0</v>
      </c>
      <c r="O8" s="7">
        <v>87</v>
      </c>
    </row>
    <row r="9" spans="1:15" x14ac:dyDescent="0.35">
      <c r="A9" s="12">
        <v>8</v>
      </c>
      <c r="B9" s="4">
        <v>6</v>
      </c>
      <c r="C9" s="12" t="str">
        <v>Isack Hadjar</v>
      </c>
      <c r="D9" s="4" t="str">
        <v>Red Bull</v>
      </c>
      <c r="E9" s="2">
        <v>0</v>
      </c>
      <c r="G9" s="45"/>
      <c r="H9" s="4">
        <v>6</v>
      </c>
      <c r="I9" s="12" t="s">
        <v>48</v>
      </c>
      <c r="J9" s="4" t="s">
        <v>33</v>
      </c>
      <c r="K9" s="2">
        <f>Ratings!E13</f>
        <v>0</v>
      </c>
      <c r="M9" s="8">
        <v>55</v>
      </c>
      <c r="N9" s="29">
        <f>Simplified!G16</f>
        <v>0</v>
      </c>
      <c r="O9" s="8">
        <v>23</v>
      </c>
    </row>
    <row r="10" spans="1:15" x14ac:dyDescent="0.35">
      <c r="A10" s="12">
        <v>9</v>
      </c>
      <c r="B10" s="5">
        <v>10</v>
      </c>
      <c r="C10" s="12" t="str">
        <v>Pierre Gasly</v>
      </c>
      <c r="D10" s="5" t="str">
        <v>Alpine</v>
      </c>
      <c r="E10" s="2">
        <v>0</v>
      </c>
      <c r="G10" s="45">
        <f>K10-K11</f>
        <v>0</v>
      </c>
      <c r="H10" s="5">
        <v>10</v>
      </c>
      <c r="I10" s="12" t="s">
        <v>49</v>
      </c>
      <c r="J10" s="5" t="s">
        <v>34</v>
      </c>
      <c r="K10" s="2">
        <f>Ratings!E14</f>
        <v>0</v>
      </c>
      <c r="M10" s="9">
        <v>27</v>
      </c>
      <c r="N10" s="29">
        <f>Simplified!G18</f>
        <v>0</v>
      </c>
      <c r="O10" s="9">
        <v>5</v>
      </c>
    </row>
    <row r="11" spans="1:15" x14ac:dyDescent="0.35">
      <c r="A11" s="12">
        <v>10</v>
      </c>
      <c r="B11" s="5">
        <v>43</v>
      </c>
      <c r="C11" s="12" t="str">
        <v>Franco Colapinto</v>
      </c>
      <c r="D11" s="5" t="str">
        <v>Alpine</v>
      </c>
      <c r="E11" s="2">
        <v>0</v>
      </c>
      <c r="G11" s="45"/>
      <c r="H11" s="5">
        <v>43</v>
      </c>
      <c r="I11" s="12" t="s">
        <v>50</v>
      </c>
      <c r="J11" s="5" t="s">
        <v>34</v>
      </c>
      <c r="K11" s="2">
        <f>Ratings!E15</f>
        <v>0</v>
      </c>
      <c r="M11" s="10">
        <v>11</v>
      </c>
      <c r="N11" s="29">
        <f>Simplified!G20</f>
        <v>0</v>
      </c>
      <c r="O11" s="10">
        <v>77</v>
      </c>
    </row>
    <row r="12" spans="1:15" x14ac:dyDescent="0.35">
      <c r="A12" s="12">
        <v>11</v>
      </c>
      <c r="B12" s="6">
        <v>30</v>
      </c>
      <c r="C12" s="12" t="str">
        <v>Liam Lawson</v>
      </c>
      <c r="D12" s="6" t="str">
        <v>Racing Bulls</v>
      </c>
      <c r="E12" s="2">
        <v>0</v>
      </c>
      <c r="G12" s="45">
        <f>K12-K13</f>
        <v>0</v>
      </c>
      <c r="H12" s="6">
        <v>30</v>
      </c>
      <c r="I12" s="12" t="s">
        <v>51</v>
      </c>
      <c r="J12" s="6" t="s">
        <v>35</v>
      </c>
      <c r="K12" s="2">
        <f>Ratings!E16</f>
        <v>0</v>
      </c>
      <c r="M12" s="11">
        <v>14</v>
      </c>
      <c r="N12" s="29">
        <f>Simplified!G22</f>
        <v>0</v>
      </c>
      <c r="O12" s="11">
        <v>18</v>
      </c>
    </row>
    <row r="13" spans="1:15" x14ac:dyDescent="0.35">
      <c r="A13" s="12">
        <v>12</v>
      </c>
      <c r="B13" s="6">
        <v>41</v>
      </c>
      <c r="C13" s="12" t="str">
        <v>Arvid Lindblad</v>
      </c>
      <c r="D13" s="6" t="str">
        <v>Racing Bulls</v>
      </c>
      <c r="E13" s="2">
        <v>0</v>
      </c>
      <c r="G13" s="45"/>
      <c r="H13" s="6">
        <v>41</v>
      </c>
      <c r="I13" s="12" t="s">
        <v>52</v>
      </c>
      <c r="J13" s="6" t="s">
        <v>35</v>
      </c>
      <c r="K13" s="2">
        <f>Ratings!E17</f>
        <v>0</v>
      </c>
    </row>
    <row r="14" spans="1:15" x14ac:dyDescent="0.35">
      <c r="A14" s="12">
        <v>13</v>
      </c>
      <c r="B14" s="7">
        <v>31</v>
      </c>
      <c r="C14" s="12" t="str">
        <v>Esteban Ocon</v>
      </c>
      <c r="D14" s="7" t="str">
        <v>Hass</v>
      </c>
      <c r="E14" s="2">
        <v>0</v>
      </c>
      <c r="G14" s="45">
        <f>K14-K15</f>
        <v>0</v>
      </c>
      <c r="H14" s="7">
        <v>31</v>
      </c>
      <c r="I14" s="12" t="s">
        <v>53</v>
      </c>
      <c r="J14" s="7" t="s">
        <v>36</v>
      </c>
      <c r="K14" s="2">
        <f>Ratings!E18</f>
        <v>0</v>
      </c>
    </row>
    <row r="15" spans="1:15" x14ac:dyDescent="0.35">
      <c r="A15" s="12">
        <v>14</v>
      </c>
      <c r="B15" s="7">
        <v>87</v>
      </c>
      <c r="C15" s="12" t="str">
        <v>Oliver Bearman</v>
      </c>
      <c r="D15" s="7" t="str">
        <v>Hass</v>
      </c>
      <c r="E15" s="2">
        <v>0</v>
      </c>
      <c r="G15" s="45"/>
      <c r="H15" s="7">
        <v>87</v>
      </c>
      <c r="I15" s="12" t="s">
        <v>54</v>
      </c>
      <c r="J15" s="7" t="s">
        <v>36</v>
      </c>
      <c r="K15" s="2">
        <f>Ratings!E19</f>
        <v>0</v>
      </c>
    </row>
    <row r="16" spans="1:15" x14ac:dyDescent="0.35">
      <c r="A16" s="12">
        <v>15</v>
      </c>
      <c r="B16" s="8">
        <v>55</v>
      </c>
      <c r="C16" s="12" t="str">
        <v>Carlos Sainz</v>
      </c>
      <c r="D16" s="8" t="str">
        <v>Williams</v>
      </c>
      <c r="E16" s="2">
        <v>0</v>
      </c>
      <c r="G16" s="45">
        <f>K16-K17</f>
        <v>0</v>
      </c>
      <c r="H16" s="8">
        <v>55</v>
      </c>
      <c r="I16" s="12" t="s">
        <v>55</v>
      </c>
      <c r="J16" s="8" t="s">
        <v>37</v>
      </c>
      <c r="K16" s="2">
        <f>Ratings!E20</f>
        <v>0</v>
      </c>
    </row>
    <row r="17" spans="1:11" x14ac:dyDescent="0.35">
      <c r="A17" s="12">
        <v>16</v>
      </c>
      <c r="B17" s="8">
        <v>23</v>
      </c>
      <c r="C17" s="12" t="str">
        <v>Alexander Albon</v>
      </c>
      <c r="D17" s="8" t="str">
        <v>Williams</v>
      </c>
      <c r="E17" s="2">
        <v>0</v>
      </c>
      <c r="G17" s="45"/>
      <c r="H17" s="8">
        <v>23</v>
      </c>
      <c r="I17" s="12" t="s">
        <v>56</v>
      </c>
      <c r="J17" s="8" t="s">
        <v>37</v>
      </c>
      <c r="K17" s="2">
        <f>Ratings!E21</f>
        <v>0</v>
      </c>
    </row>
    <row r="18" spans="1:11" x14ac:dyDescent="0.35">
      <c r="A18" s="12">
        <v>17</v>
      </c>
      <c r="B18" s="9">
        <v>27</v>
      </c>
      <c r="C18" s="12" t="str">
        <v>Nico Hulkenberg</v>
      </c>
      <c r="D18" s="9" t="str">
        <v>Audi</v>
      </c>
      <c r="E18" s="2">
        <v>0</v>
      </c>
      <c r="G18" s="45">
        <f>K18-K19</f>
        <v>0</v>
      </c>
      <c r="H18" s="9">
        <v>27</v>
      </c>
      <c r="I18" s="12" t="s">
        <v>57</v>
      </c>
      <c r="J18" s="9" t="s">
        <v>38</v>
      </c>
      <c r="K18" s="2">
        <f>Ratings!E22</f>
        <v>0</v>
      </c>
    </row>
    <row r="19" spans="1:11" x14ac:dyDescent="0.35">
      <c r="A19" s="12">
        <v>18</v>
      </c>
      <c r="B19" s="9">
        <v>5</v>
      </c>
      <c r="C19" s="12" t="str">
        <v>Gabriel Bortoleto</v>
      </c>
      <c r="D19" s="9" t="str">
        <v>Audi</v>
      </c>
      <c r="E19" s="2">
        <v>0</v>
      </c>
      <c r="G19" s="45"/>
      <c r="H19" s="9">
        <v>5</v>
      </c>
      <c r="I19" s="12" t="s">
        <v>58</v>
      </c>
      <c r="J19" s="9" t="s">
        <v>38</v>
      </c>
      <c r="K19" s="2">
        <f>Ratings!E23</f>
        <v>0</v>
      </c>
    </row>
    <row r="20" spans="1:11" x14ac:dyDescent="0.35">
      <c r="A20" s="12">
        <v>19</v>
      </c>
      <c r="B20" s="10">
        <v>11</v>
      </c>
      <c r="C20" s="12" t="str">
        <v>Sergio Perez</v>
      </c>
      <c r="D20" s="10" t="str">
        <v>Cadillac</v>
      </c>
      <c r="E20" s="2">
        <v>0</v>
      </c>
      <c r="G20" s="45">
        <f>K20-K21</f>
        <v>0</v>
      </c>
      <c r="H20" s="10">
        <v>11</v>
      </c>
      <c r="I20" s="12" t="s">
        <v>59</v>
      </c>
      <c r="J20" s="10" t="s">
        <v>39</v>
      </c>
      <c r="K20" s="2">
        <f>Ratings!E24</f>
        <v>0</v>
      </c>
    </row>
    <row r="21" spans="1:11" x14ac:dyDescent="0.35">
      <c r="A21" s="12">
        <v>20</v>
      </c>
      <c r="B21" s="10">
        <v>77</v>
      </c>
      <c r="C21" s="12" t="str">
        <v>Valtteri Bottas</v>
      </c>
      <c r="D21" s="10" t="str">
        <v>Cadillac</v>
      </c>
      <c r="E21" s="2">
        <v>0</v>
      </c>
      <c r="G21" s="45"/>
      <c r="H21" s="10">
        <v>77</v>
      </c>
      <c r="I21" s="12" t="s">
        <v>60</v>
      </c>
      <c r="J21" s="10" t="s">
        <v>39</v>
      </c>
      <c r="K21" s="2">
        <f>Ratings!E25</f>
        <v>0</v>
      </c>
    </row>
    <row r="22" spans="1:11" x14ac:dyDescent="0.35">
      <c r="A22" s="12">
        <v>21</v>
      </c>
      <c r="B22" s="11">
        <v>14</v>
      </c>
      <c r="C22" s="12" t="str">
        <v>Fernando Alonso</v>
      </c>
      <c r="D22" s="11" t="str">
        <v>Aston Martin</v>
      </c>
      <c r="E22" s="2">
        <v>0</v>
      </c>
      <c r="G22" s="45">
        <f>K22-K23</f>
        <v>0</v>
      </c>
      <c r="H22" s="11">
        <v>14</v>
      </c>
      <c r="I22" s="12" t="s">
        <v>61</v>
      </c>
      <c r="J22" s="11" t="s">
        <v>40</v>
      </c>
      <c r="K22" s="2">
        <f>Ratings!E26</f>
        <v>0</v>
      </c>
    </row>
    <row r="23" spans="1:11" x14ac:dyDescent="0.35">
      <c r="A23" s="12">
        <v>22</v>
      </c>
      <c r="B23" s="11">
        <v>18</v>
      </c>
      <c r="C23" s="12" t="str">
        <v>Lance Stroll</v>
      </c>
      <c r="D23" s="11" t="str">
        <v>Aston Martin</v>
      </c>
      <c r="E23" s="2">
        <v>0</v>
      </c>
      <c r="G23" s="45"/>
      <c r="H23" s="11">
        <v>18</v>
      </c>
      <c r="I23" s="12" t="s">
        <v>62</v>
      </c>
      <c r="J23" s="11" t="s">
        <v>40</v>
      </c>
      <c r="K23" s="2">
        <f>Ratings!E27</f>
        <v>0</v>
      </c>
    </row>
  </sheetData>
  <mergeCells count="11">
    <mergeCell ref="G18:G19"/>
    <mergeCell ref="G20:G21"/>
    <mergeCell ref="G22:G23"/>
    <mergeCell ref="G2:G3"/>
    <mergeCell ref="G4:G5"/>
    <mergeCell ref="G6:G7"/>
    <mergeCell ref="G8:G9"/>
    <mergeCell ref="G10:G11"/>
    <mergeCell ref="G12:G13"/>
    <mergeCell ref="G14:G15"/>
    <mergeCell ref="G16:G17"/>
  </mergeCells>
  <conditionalFormatting sqref="B2:B23 D2:D23">
    <cfRule type="expression" dxfId="54" priority="8">
      <formula>$D2="McLaren"</formula>
    </cfRule>
    <cfRule type="expression" dxfId="53" priority="2">
      <formula>$D2="Williams"</formula>
    </cfRule>
    <cfRule type="expression" dxfId="52" priority="3">
      <formula>$D2="Audi"</formula>
    </cfRule>
    <cfRule type="expression" dxfId="51" priority="4">
      <formula>$D2="Cadillac"</formula>
    </cfRule>
    <cfRule type="expression" dxfId="50" priority="5">
      <formula>$D2="Aston Martin"</formula>
    </cfRule>
    <cfRule type="expression" dxfId="49" priority="6">
      <formula>$D2="Mercedes"</formula>
    </cfRule>
    <cfRule type="expression" dxfId="48" priority="7">
      <formula>$D2="Ferrari"</formula>
    </cfRule>
    <cfRule type="expression" dxfId="47" priority="9">
      <formula>$D2="Red Bull"</formula>
    </cfRule>
    <cfRule type="expression" dxfId="46" priority="10">
      <formula>$D2="Alpine"</formula>
    </cfRule>
    <cfRule type="expression" dxfId="45" priority="11">
      <formula>$D2="Racing Bulls"</formula>
    </cfRule>
    <cfRule type="expression" dxfId="44" priority="12">
      <formula>$D2="Haas"</formula>
    </cfRule>
  </conditionalFormatting>
  <conditionalFormatting sqref="E2:E23">
    <cfRule type="colorScale" priority="1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G4 G2 G6 G8 G10 G12 G14 G16 G18 G20 G22">
    <cfRule type="colorScale" priority="57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4:H23 J4:J23">
    <cfRule type="expression" dxfId="43" priority="59">
      <formula>#REF!="Williams"</formula>
    </cfRule>
    <cfRule type="expression" dxfId="42" priority="60">
      <formula>#REF!="Audi"</formula>
    </cfRule>
    <cfRule type="expression" dxfId="41" priority="61">
      <formula>#REF!="Cadillac"</formula>
    </cfRule>
    <cfRule type="expression" dxfId="40" priority="62">
      <formula>#REF!="Aston Martin"</formula>
    </cfRule>
    <cfRule type="expression" dxfId="39" priority="63">
      <formula>#REF!="Mercedes"</formula>
    </cfRule>
    <cfRule type="expression" dxfId="38" priority="64">
      <formula>#REF!="Ferrari"</formula>
    </cfRule>
    <cfRule type="expression" dxfId="37" priority="65">
      <formula>#REF!="McLaren"</formula>
    </cfRule>
    <cfRule type="expression" dxfId="36" priority="66">
      <formula>#REF!="Red Bull"</formula>
    </cfRule>
    <cfRule type="expression" dxfId="35" priority="67">
      <formula>#REF!="Alpine"</formula>
    </cfRule>
    <cfRule type="expression" dxfId="34" priority="68">
      <formula>#REF!="Racing Bulls"</formula>
    </cfRule>
    <cfRule type="expression" dxfId="33" priority="69">
      <formula>#REF!="Haas"</formula>
    </cfRule>
  </conditionalFormatting>
  <conditionalFormatting sqref="K2:K23">
    <cfRule type="colorScale" priority="58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M2 O2 H2:H3 J2:J3">
    <cfRule type="expression" dxfId="32" priority="348">
      <formula>$J2="McLaren"</formula>
    </cfRule>
    <cfRule type="expression" dxfId="31" priority="349">
      <formula>$J2="Red Bull"</formula>
    </cfRule>
    <cfRule type="expression" dxfId="30" priority="350">
      <formula>$J2="Alpine"</formula>
    </cfRule>
    <cfRule type="expression" dxfId="29" priority="351">
      <formula>$J2="Racing Bulls"</formula>
    </cfRule>
    <cfRule type="expression" dxfId="28" priority="352">
      <formula>$J2="Haas"</formula>
    </cfRule>
    <cfRule type="expression" dxfId="27" priority="345">
      <formula>$J2="Aston Martin"</formula>
    </cfRule>
    <cfRule type="expression" dxfId="26" priority="342">
      <formula>$J2="Williams"</formula>
    </cfRule>
    <cfRule type="expression" dxfId="25" priority="343">
      <formula>$J2="Audi"</formula>
    </cfRule>
    <cfRule type="expression" dxfId="24" priority="344">
      <formula>$J2="Cadillac"</formula>
    </cfRule>
    <cfRule type="expression" dxfId="23" priority="346">
      <formula>$J2="Mercedes"</formula>
    </cfRule>
    <cfRule type="expression" dxfId="22" priority="347">
      <formula>$J2="Ferrari"</formula>
    </cfRule>
  </conditionalFormatting>
  <conditionalFormatting sqref="M3:M12">
    <cfRule type="expression" dxfId="21" priority="85">
      <formula>$D1048555="Aston Martin"</formula>
    </cfRule>
    <cfRule type="expression" dxfId="20" priority="86">
      <formula>$D1048555="Mercedes"</formula>
    </cfRule>
    <cfRule type="expression" dxfId="19" priority="87">
      <formula>$D1048555="Ferrari"</formula>
    </cfRule>
    <cfRule type="expression" dxfId="18" priority="88">
      <formula>$D1048555="McLaren"</formula>
    </cfRule>
    <cfRule type="expression" dxfId="17" priority="90">
      <formula>$D1048555="Alpine"</formula>
    </cfRule>
    <cfRule type="expression" dxfId="16" priority="91">
      <formula>$D1048555="Racing Bulls"</formula>
    </cfRule>
    <cfRule type="expression" dxfId="15" priority="92">
      <formula>$D1048555="Haas"</formula>
    </cfRule>
    <cfRule type="expression" dxfId="14" priority="82">
      <formula>$D1048555="Williams"</formula>
    </cfRule>
    <cfRule type="expression" dxfId="13" priority="83">
      <formula>$D1048555="Audi"</formula>
    </cfRule>
    <cfRule type="expression" dxfId="12" priority="84">
      <formula>$D1048555="Cadillac"</formula>
    </cfRule>
    <cfRule type="expression" dxfId="11" priority="89">
      <formula>$D1048555="Red Bull"</formula>
    </cfRule>
  </conditionalFormatting>
  <conditionalFormatting sqref="N2:N12">
    <cfRule type="dataBar" priority="70">
      <dataBar showValue="0">
        <cfvo type="num" val="-10"/>
        <cfvo type="num" val="10"/>
        <color rgb="FF21976F"/>
      </dataBar>
      <extLst>
        <ext xmlns:x14="http://schemas.microsoft.com/office/spreadsheetml/2009/9/main" uri="{B025F937-C7B1-47D3-B67F-A62EFF666E3E}">
          <x14:id>{36AB2FEB-256E-4F86-BFF6-3B16CDA9DDCE}</x14:id>
        </ext>
      </extLst>
    </cfRule>
  </conditionalFormatting>
  <conditionalFormatting sqref="O3:O12">
    <cfRule type="expression" dxfId="10" priority="71">
      <formula>$D1048555="Williams"</formula>
    </cfRule>
    <cfRule type="expression" dxfId="9" priority="72">
      <formula>$D1048555="Audi"</formula>
    </cfRule>
    <cfRule type="expression" dxfId="8" priority="73">
      <formula>$D1048555="Cadillac"</formula>
    </cfRule>
    <cfRule type="expression" dxfId="7" priority="75">
      <formula>$D1048555="Mercedes"</formula>
    </cfRule>
    <cfRule type="expression" dxfId="6" priority="76">
      <formula>$D1048555="Ferrari"</formula>
    </cfRule>
    <cfRule type="expression" dxfId="5" priority="77">
      <formula>$D1048555="McLaren"</formula>
    </cfRule>
    <cfRule type="expression" dxfId="4" priority="78">
      <formula>$D1048555="Red Bull"</formula>
    </cfRule>
    <cfRule type="expression" dxfId="3" priority="74">
      <formula>$D1048555="Aston Martin"</formula>
    </cfRule>
    <cfRule type="expression" dxfId="2" priority="79">
      <formula>$D1048555="Alpine"</formula>
    </cfRule>
    <cfRule type="expression" dxfId="1" priority="80">
      <formula>$D1048555="Racing Bulls"</formula>
    </cfRule>
    <cfRule type="expression" dxfId="0" priority="81">
      <formula>$D1048555="Haas"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AB2FEB-256E-4F86-BFF6-3B16CDA9DDCE}">
            <x14:dataBar minLength="0" maxLength="100" border="1" gradient="0" axisPosition="middle">
              <x14:cfvo type="num">
                <xm:f>-10</xm:f>
              </x14:cfvo>
              <x14:cfvo type="num">
                <xm:f>10</xm:f>
              </x14:cfvo>
              <x14:borderColor rgb="FF000000"/>
              <x14:negativeFillColor rgb="FFFF0000"/>
              <x14:axisColor rgb="FF000000"/>
            </x14:dataBar>
          </x14:cfRule>
          <xm:sqref>N2:N12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GapChart_Data</vt:lpstr>
      <vt:lpstr>Butterfly_Data</vt:lpstr>
      <vt:lpstr>Ratings</vt:lpstr>
      <vt:lpstr>Simplified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 Jitto</dc:creator>
  <cp:lastModifiedBy>Joseph  Jitto</cp:lastModifiedBy>
  <dcterms:created xsi:type="dcterms:W3CDTF">2026-05-27T19:32:57Z</dcterms:created>
  <dcterms:modified xsi:type="dcterms:W3CDTF">2026-05-28T20:32:23Z</dcterms:modified>
</cp:coreProperties>
</file>