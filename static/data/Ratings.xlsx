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BB68969A-3BD9-4485-8BE5-55D3B8DFED46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H7" i="1"/>
  <c r="E6" i="1" l="1" a="1"/>
  <c r="E6" i="1" s="1"/>
  <c r="K2" i="6" s="1"/>
  <c r="E14" i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20" i="6" l="1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<sst xmlns="http://schemas.openxmlformats.org/spreadsheetml/2006/main" count="353" uniqueCount="72">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</sst>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X14" sqref="X14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43" t="s">
        <v>64</v>
      </c>
      <c r="B1" s="44"/>
      <c r="C1" s="44"/>
      <c r="D1" s="44"/>
      <c r="E1" s="44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44"/>
      <c r="B2" s="44"/>
      <c r="C2" s="44"/>
      <c r="D2" s="44"/>
      <c r="E2" s="4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0" t="e" vm="1">
        <f>_xlfn.IMAGE("https://flagcdn.com/w640/au.png")</f>
        <v>#VALUE!</v>
      </c>
      <c r="G3" s="41"/>
      <c r="H3" s="42"/>
      <c r="I3" s="38" t="e" vm="2">
        <f>_xlfn.IMAGE("https://flagcdn.com/w640/cn.png")</f>
        <v>#VALUE!</v>
      </c>
      <c r="J3" s="38"/>
      <c r="K3" s="38"/>
      <c r="L3" s="38"/>
      <c r="M3" s="38"/>
      <c r="N3" s="40" t="e" vm="3">
        <f>_xlfn.IMAGE("https://flagcdn.com/w640/jp.png")</f>
        <v>#VALUE!</v>
      </c>
      <c r="O3" s="41"/>
      <c r="P3" s="42"/>
      <c r="Q3" s="37" t="e" vm="4">
        <f>_xlfn.IMAGE("https://flagcdn.com/w640/us.png")</f>
        <v>#VALUE!</v>
      </c>
      <c r="R3" s="38"/>
      <c r="S3" s="38"/>
      <c r="T3" s="38"/>
      <c r="U3" s="39"/>
      <c r="V3" s="37" t="e" vm="5">
        <f>_xlfn.IMAGE("https://flagcdn.com/w640/ca.png")</f>
        <v>#VALUE!</v>
      </c>
      <c r="W3" s="38"/>
      <c r="X3" s="38"/>
      <c r="Y3" s="38"/>
      <c r="Z3" s="39"/>
      <c r="AA3" s="40" t="e" vm="6">
        <f>_xlfn.IMAGE("https://flagcdn.com/w640/mc.png")</f>
        <v>#VALUE!</v>
      </c>
      <c r="AB3" s="41"/>
      <c r="AC3" s="42"/>
      <c r="AD3" s="40" t="e" vm="7">
        <f>_xlfn.IMAGE("https://flagcdn.com/w640/es.png")</f>
        <v>#VALUE!</v>
      </c>
      <c r="AE3" s="41"/>
      <c r="AF3" s="42"/>
      <c r="AG3" s="40" t="e" vm="8">
        <f>_xlfn.IMAGE("https://flagcdn.com/w640/at.png")</f>
        <v>#VALUE!</v>
      </c>
      <c r="AH3" s="41"/>
      <c r="AI3" s="42"/>
      <c r="AJ3" s="37" t="e" vm="9">
        <f>_xlfn.IMAGE("https://flagcdn.com/w640/gb.png")</f>
        <v>#VALUE!</v>
      </c>
      <c r="AK3" s="38"/>
      <c r="AL3" s="38"/>
      <c r="AM3" s="38"/>
      <c r="AN3" s="39"/>
      <c r="AO3" s="40" t="e" vm="10">
        <f>_xlfn.IMAGE("https://flagcdn.com/w640/be.png")</f>
        <v>#VALUE!</v>
      </c>
      <c r="AP3" s="41"/>
      <c r="AQ3" s="42"/>
      <c r="AR3" s="40" t="e" vm="11">
        <f>_xlfn.IMAGE("https://flagcdn.com/w640/hu.png")</f>
        <v>#VALUE!</v>
      </c>
      <c r="AS3" s="41"/>
      <c r="AT3" s="42"/>
      <c r="AU3" s="37" t="e" vm="12">
        <f>_xlfn.IMAGE("https://flagcdn.com/w640/nl.png")</f>
        <v>#VALUE!</v>
      </c>
      <c r="AV3" s="38"/>
      <c r="AW3" s="38"/>
      <c r="AX3" s="38"/>
      <c r="AY3" s="39"/>
      <c r="AZ3" s="40" t="e" vm="13">
        <f>_xlfn.IMAGE("https://flagcdn.com/w640/it.png")</f>
        <v>#VALUE!</v>
      </c>
      <c r="BA3" s="41"/>
      <c r="BB3" s="42"/>
      <c r="BC3" s="40" t="e" vm="7">
        <f>_xlfn.IMAGE("https://flagcdn.com/w640/es.png")</f>
        <v>#VALUE!</v>
      </c>
      <c r="BD3" s="41"/>
      <c r="BE3" s="42"/>
      <c r="BF3" s="40" t="e" vm="14">
        <f>_xlfn.IMAGE("https://flagcdn.com/w640/az.png")</f>
        <v>#VALUE!</v>
      </c>
      <c r="BG3" s="41"/>
      <c r="BH3" s="42"/>
      <c r="BI3" s="37" t="e" vm="15">
        <f>_xlfn.IMAGE("https://flagcdn.com/w640/sg.png")</f>
        <v>#VALUE!</v>
      </c>
      <c r="BJ3" s="38"/>
      <c r="BK3" s="38"/>
      <c r="BL3" s="38"/>
      <c r="BM3" s="39"/>
      <c r="BN3" s="40" t="e" vm="4">
        <f>_xlfn.IMAGE("https://flagcdn.com/w640/us.png")</f>
        <v>#VALUE!</v>
      </c>
      <c r="BO3" s="41"/>
      <c r="BP3" s="42"/>
      <c r="BQ3" s="40" t="e" vm="16">
        <f>_xlfn.IMAGE("https://flagcdn.com/w640/mx.png")</f>
        <v>#VALUE!</v>
      </c>
      <c r="BR3" s="41"/>
      <c r="BS3" s="42"/>
      <c r="BT3" s="40" t="e" vm="17">
        <f>_xlfn.IMAGE("https://flagcdn.com/w640/br.png")</f>
        <v>#VALUE!</v>
      </c>
      <c r="BU3" s="41"/>
      <c r="BV3" s="42"/>
      <c r="BW3" s="40" t="e" vm="4">
        <f>_xlfn.IMAGE("https://flagcdn.com/w640/us.png")</f>
        <v>#VALUE!</v>
      </c>
      <c r="BX3" s="41"/>
      <c r="BY3" s="42"/>
      <c r="BZ3" s="40" t="e" vm="18">
        <f>_xlfn.IMAGE("https://flagcdn.com/w640/qa.png")</f>
        <v>#VALUE!</v>
      </c>
      <c r="CA3" s="41"/>
      <c r="CB3" s="42"/>
      <c r="CC3" s="40" t="e" vm="19">
        <f>_xlfn.IMAGE("https://flagcdn.com/w640/ae.png")</f>
        <v>#VALUE!</v>
      </c>
      <c r="CD3" s="41"/>
      <c r="CE3" s="42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1.02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8.5</v>
      </c>
      <c r="W6" s="23">
        <v>0</v>
      </c>
      <c r="X6" s="23">
        <v>0</v>
      </c>
      <c r="Y6" s="23">
        <v>0</v>
      </c>
      <c r="Z6" s="24">
        <f>(AVERAGE(V6:W6)*0.24) + (AVERAGE(X6:Y6)*0.76)</f>
        <v>1.02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0.96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8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0.96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8.6859999999999999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9.8000000000000007</v>
      </c>
      <c r="X8" s="23">
        <v>8.5</v>
      </c>
      <c r="Y8" s="23">
        <v>8.5</v>
      </c>
      <c r="Z8" s="24">
        <f t="shared" si="4"/>
        <v>8.6859999999999999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5.827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7.6</v>
      </c>
      <c r="X9" s="23">
        <v>8.25</v>
      </c>
      <c r="Y9" s="23">
        <v>2</v>
      </c>
      <c r="Z9" s="24">
        <f t="shared" si="4"/>
        <v>5.827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0.69599999999999995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5.8</v>
      </c>
      <c r="W10" s="23">
        <v>0</v>
      </c>
      <c r="X10" s="23">
        <v>0</v>
      </c>
      <c r="Y10" s="23">
        <v>0</v>
      </c>
      <c r="Z10" s="24">
        <f t="shared" si="4"/>
        <v>0.69599999999999995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0.99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8.25</v>
      </c>
      <c r="W11" s="23">
        <v>0</v>
      </c>
      <c r="X11" s="23">
        <v>0</v>
      </c>
      <c r="Y11" s="23">
        <v>0</v>
      </c>
      <c r="Z11" s="24">
        <f t="shared" si="4"/>
        <v>0.99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0.92999999999999994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7.75</v>
      </c>
      <c r="W12" s="23">
        <v>0</v>
      </c>
      <c r="X12" s="23">
        <v>0</v>
      </c>
      <c r="Y12" s="23">
        <v>0</v>
      </c>
      <c r="Z12" s="24">
        <f t="shared" si="4"/>
        <v>0.92999999999999994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0.89999999999999991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7.5</v>
      </c>
      <c r="W13" s="23">
        <v>0</v>
      </c>
      <c r="X13" s="23">
        <v>0</v>
      </c>
      <c r="Y13" s="23">
        <v>0</v>
      </c>
      <c r="Z13" s="24">
        <f t="shared" si="4"/>
        <v>0.89999999999999991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0.48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4</v>
      </c>
      <c r="W14" s="23">
        <v>0</v>
      </c>
      <c r="X14" s="23">
        <v>0</v>
      </c>
      <c r="Y14" s="23">
        <v>0</v>
      </c>
      <c r="Z14" s="24">
        <f t="shared" si="4"/>
        <v>0.48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1.02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8.5</v>
      </c>
      <c r="W15" s="23">
        <v>0</v>
      </c>
      <c r="X15" s="23">
        <v>0</v>
      </c>
      <c r="Y15" s="23">
        <v>0</v>
      </c>
      <c r="Z15" s="24">
        <f t="shared" si="4"/>
        <v>1.02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0.84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>
        <v>7</v>
      </c>
      <c r="W16" s="23">
        <v>0</v>
      </c>
      <c r="X16" s="23">
        <v>0</v>
      </c>
      <c r="Y16" s="23">
        <v>0</v>
      </c>
      <c r="Z16" s="24">
        <f t="shared" si="4"/>
        <v>0.84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0.89999999999999991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7.5</v>
      </c>
      <c r="W17" s="23">
        <v>0</v>
      </c>
      <c r="X17" s="23">
        <v>0</v>
      </c>
      <c r="Y17" s="23">
        <v>0</v>
      </c>
      <c r="Z17" s="24">
        <f t="shared" si="4"/>
        <v>0.89999999999999991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0.84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7</v>
      </c>
      <c r="W18" s="23">
        <v>0</v>
      </c>
      <c r="X18" s="23">
        <v>0</v>
      </c>
      <c r="Y18" s="23">
        <v>0</v>
      </c>
      <c r="Z18" s="24">
        <f t="shared" si="4"/>
        <v>0.84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0.78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6.5</v>
      </c>
      <c r="W19" s="23">
        <v>0</v>
      </c>
      <c r="X19" s="23">
        <v>0</v>
      </c>
      <c r="Y19" s="23">
        <v>0</v>
      </c>
      <c r="Z19" s="24">
        <f t="shared" si="4"/>
        <v>0.78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1.02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8.5</v>
      </c>
      <c r="W20" s="23">
        <v>0</v>
      </c>
      <c r="X20" s="23">
        <v>0</v>
      </c>
      <c r="Y20" s="23">
        <v>0</v>
      </c>
      <c r="Z20" s="24">
        <f t="shared" si="4"/>
        <v>1.02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0.84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>
        <v>7</v>
      </c>
      <c r="W21" s="23">
        <v>0</v>
      </c>
      <c r="X21" s="23">
        <v>0</v>
      </c>
      <c r="Y21" s="23">
        <v>0</v>
      </c>
      <c r="Z21" s="24">
        <f t="shared" si="4"/>
        <v>0.84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0.96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8</v>
      </c>
      <c r="W22" s="23">
        <v>0</v>
      </c>
      <c r="X22" s="23">
        <v>0</v>
      </c>
      <c r="Y22" s="23">
        <v>0</v>
      </c>
      <c r="Z22" s="24">
        <f t="shared" si="4"/>
        <v>0.96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0.89400000000000002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7.45</v>
      </c>
      <c r="W23" s="23">
        <v>0</v>
      </c>
      <c r="X23" s="23">
        <v>0</v>
      </c>
      <c r="Y23" s="23">
        <v>0</v>
      </c>
      <c r="Z23" s="24">
        <f t="shared" si="4"/>
        <v>0.89400000000000002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1.02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8.5</v>
      </c>
      <c r="W24" s="23">
        <v>0</v>
      </c>
      <c r="X24" s="23">
        <v>0</v>
      </c>
      <c r="Y24" s="23">
        <v>0</v>
      </c>
      <c r="Z24" s="24">
        <f t="shared" si="4"/>
        <v>1.02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0.12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1</v>
      </c>
      <c r="W25" s="23">
        <v>0</v>
      </c>
      <c r="X25" s="23">
        <v>0</v>
      </c>
      <c r="Y25" s="23">
        <v>0</v>
      </c>
      <c r="Z25" s="24">
        <f t="shared" si="4"/>
        <v>0.12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0.89999999999999991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7.5</v>
      </c>
      <c r="W26" s="23">
        <v>0</v>
      </c>
      <c r="X26" s="23">
        <v>0</v>
      </c>
      <c r="Y26" s="23">
        <v>0</v>
      </c>
      <c r="Z26" s="24">
        <f t="shared" si="4"/>
        <v>0.89999999999999991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0.72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6</v>
      </c>
      <c r="W27" s="23">
        <v>0</v>
      </c>
      <c r="X27" s="23">
        <v>0</v>
      </c>
      <c r="Y27" s="23">
        <v>0</v>
      </c>
      <c r="Z27" s="24">
        <f t="shared" si="4"/>
        <v>0.72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37" t="e" vm="1">
        <f>_xlfn.IMAGE("https://flagcdn.com/w640/au.png")</f>
        <v>#VALUE!</v>
      </c>
      <c r="G29" s="38"/>
      <c r="H29" s="39"/>
      <c r="I29" s="38" t="e" vm="2">
        <f>_xlfn.IMAGE("https://flagcdn.com/w640/cn.png")</f>
        <v>#VALUE!</v>
      </c>
      <c r="J29" s="38"/>
      <c r="K29" s="38"/>
      <c r="L29" s="38"/>
      <c r="M29" s="38"/>
      <c r="N29" s="37" t="e" vm="3">
        <f>_xlfn.IMAGE("https://flagcdn.com/w640/jp.png")</f>
        <v>#VALUE!</v>
      </c>
      <c r="O29" s="38"/>
      <c r="P29" s="39"/>
      <c r="Q29" s="38" t="e" vm="4">
        <f>_xlfn.IMAGE("https://flagcdn.com/w640/us.png")</f>
        <v>#VALUE!</v>
      </c>
      <c r="R29" s="38"/>
      <c r="S29" s="38"/>
      <c r="T29" s="38"/>
      <c r="U29" s="39"/>
      <c r="V29" s="37" t="e" vm="5">
        <f>_xlfn.IMAGE("https://flagcdn.com/w640/ca.png")</f>
        <v>#VALUE!</v>
      </c>
      <c r="W29" s="38"/>
      <c r="X29" s="38"/>
      <c r="Y29" s="38"/>
      <c r="Z29" s="38"/>
      <c r="AA29" s="37" t="e" vm="6">
        <f>_xlfn.IMAGE("https://flagcdn.com/w640/mc.png")</f>
        <v>#VALUE!</v>
      </c>
      <c r="AB29" s="38"/>
      <c r="AC29" s="39"/>
      <c r="AD29" s="37" t="e" vm="7">
        <f>_xlfn.IMAGE("https://flagcdn.com/w640/es.png")</f>
        <v>#VALUE!</v>
      </c>
      <c r="AE29" s="38"/>
      <c r="AF29" s="39"/>
      <c r="AG29" s="37" t="e" vm="8">
        <f>_xlfn.IMAGE("https://flagcdn.com/w640/at.png")</f>
        <v>#VALUE!</v>
      </c>
      <c r="AH29" s="38"/>
      <c r="AI29" s="39"/>
      <c r="AJ29" s="38" t="e" vm="9">
        <f>_xlfn.IMAGE("https://flagcdn.com/w640/gb.png")</f>
        <v>#VALUE!</v>
      </c>
      <c r="AK29" s="38"/>
      <c r="AL29" s="38"/>
      <c r="AM29" s="38"/>
      <c r="AN29" s="38"/>
      <c r="AO29" s="37" t="e" vm="10">
        <f>_xlfn.IMAGE("https://flagcdn.com/w640/be.png")</f>
        <v>#VALUE!</v>
      </c>
      <c r="AP29" s="38"/>
      <c r="AQ29" s="39"/>
      <c r="AR29" s="37" t="e" vm="11">
        <f>_xlfn.IMAGE("https://flagcdn.com/w640/hu.png")</f>
        <v>#VALUE!</v>
      </c>
      <c r="AS29" s="38"/>
      <c r="AT29" s="39"/>
      <c r="AU29" s="38" t="e" vm="12">
        <f>_xlfn.IMAGE("https://flagcdn.com/w640/nl.png")</f>
        <v>#VALUE!</v>
      </c>
      <c r="AV29" s="38"/>
      <c r="AW29" s="38"/>
      <c r="AX29" s="38"/>
      <c r="AY29" s="38"/>
      <c r="AZ29" s="37" t="e" vm="13">
        <f>_xlfn.IMAGE("https://flagcdn.com/w640/it.png")</f>
        <v>#VALUE!</v>
      </c>
      <c r="BA29" s="38"/>
      <c r="BB29" s="39"/>
      <c r="BC29" s="37" t="e" vm="7">
        <f>_xlfn.IMAGE("https://flagcdn.com/w640/es.png")</f>
        <v>#VALUE!</v>
      </c>
      <c r="BD29" s="38"/>
      <c r="BE29" s="39"/>
      <c r="BF29" s="37" t="e" vm="14">
        <f>_xlfn.IMAGE("https://flagcdn.com/w640/az.png")</f>
        <v>#VALUE!</v>
      </c>
      <c r="BG29" s="38"/>
      <c r="BH29" s="39"/>
      <c r="BI29" s="38" t="e" vm="15">
        <f>_xlfn.IMAGE("https://flagcdn.com/w640/sg.png")</f>
        <v>#VALUE!</v>
      </c>
      <c r="BJ29" s="38"/>
      <c r="BK29" s="38"/>
      <c r="BL29" s="38"/>
      <c r="BM29" s="38"/>
      <c r="BN29" s="37" t="e" vm="4">
        <f>_xlfn.IMAGE("https://flagcdn.com/w640/us.png")</f>
        <v>#VALUE!</v>
      </c>
      <c r="BO29" s="38"/>
      <c r="BP29" s="39"/>
      <c r="BQ29" s="37" t="e" vm="16">
        <f>_xlfn.IMAGE("https://flagcdn.com/w640/mx.png")</f>
        <v>#VALUE!</v>
      </c>
      <c r="BR29" s="38"/>
      <c r="BS29" s="39"/>
      <c r="BT29" s="37" t="e" vm="17">
        <f>_xlfn.IMAGE("https://flagcdn.com/w640/br.png")</f>
        <v>#VALUE!</v>
      </c>
      <c r="BU29" s="38"/>
      <c r="BV29" s="39"/>
      <c r="BW29" s="37" t="e" vm="4">
        <f>_xlfn.IMAGE("https://flagcdn.com/w640/us.png")</f>
        <v>#VALUE!</v>
      </c>
      <c r="BX29" s="38"/>
      <c r="BY29" s="39"/>
      <c r="BZ29" s="37" t="e" vm="18">
        <f>_xlfn.IMAGE("https://flagcdn.com/w640/qa.png")</f>
        <v>#VALUE!</v>
      </c>
      <c r="CA29" s="38"/>
      <c r="CB29" s="39"/>
      <c r="CC29" s="37" t="e" vm="19">
        <f>_xlfn.IMAGE("https://flagcdn.com/w640/ae.png")</f>
        <v>#VALUE!</v>
      </c>
      <c r="CD29" s="38"/>
      <c r="CE29" s="39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8.6859999999999999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9.8000000000000007</v>
      </c>
      <c r="X32" s="23">
        <v>8.5</v>
      </c>
      <c r="Y32" s="23">
        <v>8.5</v>
      </c>
      <c r="Z32" s="24">
        <v>8.6859999999999999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81</v>
      </c>
      <c r="C33" s="12" t="str">
        <v>Oscar Piastri</v>
      </c>
      <c r="D33" s="18" t="str">
        <v>McLaren</v>
      </c>
      <c r="E33" s="2">
        <v>5.827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8.5</v>
      </c>
      <c r="W33" s="23">
        <v>7.6</v>
      </c>
      <c r="X33" s="23">
        <v>8.25</v>
      </c>
      <c r="Y33" s="23">
        <v>2</v>
      </c>
      <c r="Z33" s="24">
        <v>5.827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1.02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8.5</v>
      </c>
      <c r="W34" s="23">
        <v>0</v>
      </c>
      <c r="X34" s="23">
        <v>0</v>
      </c>
      <c r="Y34" s="23">
        <v>0</v>
      </c>
      <c r="Z34" s="24">
        <v>1.02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43</v>
      </c>
      <c r="C35" s="12" t="str">
        <v>Franco Colapinto</v>
      </c>
      <c r="D35" s="1" t="str">
        <v>Alpine</v>
      </c>
      <c r="E35" s="2">
        <v>1.02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8.5</v>
      </c>
      <c r="W35" s="23">
        <v>0</v>
      </c>
      <c r="X35" s="23">
        <v>0</v>
      </c>
      <c r="Y35" s="23">
        <v>0</v>
      </c>
      <c r="Z35" s="24">
        <v>1.02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55</v>
      </c>
      <c r="C36" s="12" t="str">
        <v>Carlos Sainz</v>
      </c>
      <c r="D36" s="3" t="str">
        <v>Williams</v>
      </c>
      <c r="E36" s="2">
        <v>1.02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8.5</v>
      </c>
      <c r="W36" s="23">
        <v>0</v>
      </c>
      <c r="X36" s="23">
        <v>0</v>
      </c>
      <c r="Y36" s="23">
        <v>0</v>
      </c>
      <c r="Z36" s="24">
        <v>1.02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11</v>
      </c>
      <c r="C37" s="12" t="str">
        <v>Sergio Perez</v>
      </c>
      <c r="D37" s="3" t="str">
        <v>Cadillac</v>
      </c>
      <c r="E37" s="2">
        <v>1.02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8.5</v>
      </c>
      <c r="W37" s="23">
        <v>0</v>
      </c>
      <c r="X37" s="23">
        <v>0</v>
      </c>
      <c r="Y37" s="23">
        <v>0</v>
      </c>
      <c r="Z37" s="24">
        <v>1.02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44</v>
      </c>
      <c r="C38" s="12" t="str">
        <v>Lewis Hamilton</v>
      </c>
      <c r="D38" s="4" t="str">
        <v>Ferrari</v>
      </c>
      <c r="E38" s="2">
        <v>0.99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8.25</v>
      </c>
      <c r="W38" s="23">
        <v>0</v>
      </c>
      <c r="X38" s="23">
        <v>0</v>
      </c>
      <c r="Y38" s="23">
        <v>0</v>
      </c>
      <c r="Z38" s="24">
        <v>0.99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12</v>
      </c>
      <c r="C39" s="12" t="str">
        <v>Kimi Antonelli</v>
      </c>
      <c r="D39" s="4" t="str">
        <v>Mercedes</v>
      </c>
      <c r="E39" s="2">
        <v>0.96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8</v>
      </c>
      <c r="W39" s="23">
        <v>0</v>
      </c>
      <c r="X39" s="23">
        <v>0</v>
      </c>
      <c r="Y39" s="23">
        <v>0</v>
      </c>
      <c r="Z39" s="24">
        <v>0.96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27</v>
      </c>
      <c r="C40" s="12" t="str">
        <v>Nico Hulkenberg</v>
      </c>
      <c r="D40" s="5" t="str">
        <v>Audi</v>
      </c>
      <c r="E40" s="2">
        <v>0.96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8</v>
      </c>
      <c r="W40" s="23">
        <v>0</v>
      </c>
      <c r="X40" s="23">
        <v>0</v>
      </c>
      <c r="Y40" s="23">
        <v>0</v>
      </c>
      <c r="Z40" s="24">
        <v>0.96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3</v>
      </c>
      <c r="C41" s="12" t="str">
        <v>Max Verstappen</v>
      </c>
      <c r="D41" s="5" t="str">
        <v>Red Bull</v>
      </c>
      <c r="E41" s="2">
        <v>0.92999999999999994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7.75</v>
      </c>
      <c r="W41" s="23">
        <v>0</v>
      </c>
      <c r="X41" s="23">
        <v>0</v>
      </c>
      <c r="Y41" s="23">
        <v>0</v>
      </c>
      <c r="Z41" s="24">
        <v>0.92999999999999994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6</v>
      </c>
      <c r="C42" s="12" t="str">
        <v>Isack Hadjar</v>
      </c>
      <c r="D42" s="6" t="str">
        <v>Red Bull</v>
      </c>
      <c r="E42" s="2">
        <v>0.89999999999999991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7.5</v>
      </c>
      <c r="W42" s="23">
        <v>0</v>
      </c>
      <c r="X42" s="23">
        <v>0</v>
      </c>
      <c r="Y42" s="23">
        <v>0</v>
      </c>
      <c r="Z42" s="24">
        <v>0.89999999999999991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41</v>
      </c>
      <c r="C43" s="12" t="str">
        <v>Arvid Lindblad</v>
      </c>
      <c r="D43" s="6" t="str">
        <v>Racing Bulls</v>
      </c>
      <c r="E43" s="2">
        <v>0.89999999999999991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7.5</v>
      </c>
      <c r="W43" s="23">
        <v>0</v>
      </c>
      <c r="X43" s="23">
        <v>0</v>
      </c>
      <c r="Y43" s="23">
        <v>0</v>
      </c>
      <c r="Z43" s="24">
        <v>0.89999999999999991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14</v>
      </c>
      <c r="C44" s="12" t="str">
        <v>Fernando Alonso</v>
      </c>
      <c r="D44" s="7" t="str">
        <v>Aston Martin</v>
      </c>
      <c r="E44" s="2">
        <v>0.89999999999999991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7.5</v>
      </c>
      <c r="W44" s="23">
        <v>0</v>
      </c>
      <c r="X44" s="23">
        <v>0</v>
      </c>
      <c r="Y44" s="23">
        <v>0</v>
      </c>
      <c r="Z44" s="24">
        <v>0.89999999999999991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5</v>
      </c>
      <c r="C45" s="12" t="str">
        <v>Gabriel Bortoleto</v>
      </c>
      <c r="D45" s="7" t="str">
        <v>Audi</v>
      </c>
      <c r="E45" s="2">
        <v>0.89400000000000002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7.45</v>
      </c>
      <c r="W45" s="23">
        <v>0</v>
      </c>
      <c r="X45" s="23">
        <v>0</v>
      </c>
      <c r="Y45" s="23">
        <v>0</v>
      </c>
      <c r="Z45" s="24">
        <v>0.89400000000000002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30</v>
      </c>
      <c r="C46" s="12" t="str">
        <v>Liam Lawson</v>
      </c>
      <c r="D46" s="8" t="str">
        <v>Racing Bulls</v>
      </c>
      <c r="E46" s="2">
        <v>0.84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7</v>
      </c>
      <c r="W46" s="23">
        <v>0</v>
      </c>
      <c r="X46" s="23">
        <v>0</v>
      </c>
      <c r="Y46" s="23">
        <v>0</v>
      </c>
      <c r="Z46" s="24">
        <v>0.84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31</v>
      </c>
      <c r="C47" s="12" t="str">
        <v>Esteban Ocon</v>
      </c>
      <c r="D47" s="8" t="str">
        <v>Hass</v>
      </c>
      <c r="E47" s="2">
        <v>0.84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7</v>
      </c>
      <c r="W47" s="23">
        <v>0</v>
      </c>
      <c r="X47" s="23">
        <v>0</v>
      </c>
      <c r="Y47" s="23">
        <v>0</v>
      </c>
      <c r="Z47" s="24">
        <v>0.84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23</v>
      </c>
      <c r="C48" s="12" t="str">
        <v>Alexander Albon</v>
      </c>
      <c r="D48" s="9" t="str">
        <v>Williams</v>
      </c>
      <c r="E48" s="2">
        <v>0.84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7</v>
      </c>
      <c r="W48" s="23">
        <v>0</v>
      </c>
      <c r="X48" s="23">
        <v>0</v>
      </c>
      <c r="Y48" s="23">
        <v>0</v>
      </c>
      <c r="Z48" s="24">
        <v>0.84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87</v>
      </c>
      <c r="C49" s="12" t="str">
        <v>Oliver Bearman</v>
      </c>
      <c r="D49" s="9" t="str">
        <v>Hass</v>
      </c>
      <c r="E49" s="2">
        <v>0.78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6.5</v>
      </c>
      <c r="W49" s="23">
        <v>0</v>
      </c>
      <c r="X49" s="23">
        <v>0</v>
      </c>
      <c r="Y49" s="23">
        <v>0</v>
      </c>
      <c r="Z49" s="24">
        <v>0.78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18</v>
      </c>
      <c r="C50" s="12" t="str">
        <v>Lance Stroll</v>
      </c>
      <c r="D50" s="10" t="str">
        <v>Aston Martin</v>
      </c>
      <c r="E50" s="2">
        <v>0.72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6</v>
      </c>
      <c r="W50" s="23">
        <v>0</v>
      </c>
      <c r="X50" s="23">
        <v>0</v>
      </c>
      <c r="Y50" s="23">
        <v>0</v>
      </c>
      <c r="Z50" s="24">
        <v>0.72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16</v>
      </c>
      <c r="C51" s="12" t="str">
        <v>Charles Leclerc</v>
      </c>
      <c r="D51" s="10" t="str">
        <v>Ferrari</v>
      </c>
      <c r="E51" s="2">
        <v>0.69599999999999995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5.8</v>
      </c>
      <c r="W51" s="23">
        <v>0</v>
      </c>
      <c r="X51" s="23">
        <v>0</v>
      </c>
      <c r="Y51" s="23">
        <v>0</v>
      </c>
      <c r="Z51" s="24">
        <v>0.69599999999999995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10</v>
      </c>
      <c r="C52" s="12" t="str">
        <v>Pierre Gasly</v>
      </c>
      <c r="D52" s="11" t="str">
        <v>Alpine</v>
      </c>
      <c r="E52" s="2">
        <v>0.48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>
        <v>4</v>
      </c>
      <c r="W52" s="23">
        <v>0</v>
      </c>
      <c r="X52" s="23">
        <v>0</v>
      </c>
      <c r="Y52" s="23">
        <v>0</v>
      </c>
      <c r="Z52" s="24">
        <v>0.48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77</v>
      </c>
      <c r="C53" s="12" t="str">
        <v>Valtteri Bottas</v>
      </c>
      <c r="D53" s="11" t="str">
        <v>Cadillac</v>
      </c>
      <c r="E53" s="2">
        <v>0.12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>
        <v>1</v>
      </c>
      <c r="W53" s="23">
        <v>0</v>
      </c>
      <c r="X53" s="23">
        <v>0</v>
      </c>
      <c r="Y53" s="23">
        <v>0</v>
      </c>
      <c r="Z53" s="24">
        <v>0.12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F29:H29"/>
    <mergeCell ref="I29:M29"/>
    <mergeCell ref="N29:P29"/>
    <mergeCell ref="Q29:U29"/>
    <mergeCell ref="V29:Z29"/>
    <mergeCell ref="V4:Z4"/>
    <mergeCell ref="AG3:AI3"/>
    <mergeCell ref="AJ3:AN3"/>
    <mergeCell ref="AO3:AQ3"/>
    <mergeCell ref="AR3:AT3"/>
    <mergeCell ref="AA4:AC4"/>
    <mergeCell ref="AD4:AF4"/>
    <mergeCell ref="AG4:AI4"/>
    <mergeCell ref="AJ4:AN4"/>
    <mergeCell ref="AO4:AQ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Q29:BS29"/>
    <mergeCell ref="BT29:BV29"/>
    <mergeCell ref="AG29:AI29"/>
    <mergeCell ref="AJ29:AN29"/>
    <mergeCell ref="AO29:AQ29"/>
    <mergeCell ref="AR29:AT29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8.6859999999999999</v>
      </c>
      <c r="G2" s="45">
        <f>K2-K3</f>
        <v>6.0000000000000053E-2</v>
      </c>
      <c r="H2" s="18">
        <v>63</v>
      </c>
      <c r="I2" s="12" t="s">
        <v>42</v>
      </c>
      <c r="J2" s="18" t="s">
        <v>31</v>
      </c>
      <c r="K2" s="2">
        <f>Ratings!E6</f>
        <v>1.02</v>
      </c>
      <c r="M2" s="18">
        <v>63</v>
      </c>
      <c r="N2" s="29">
        <f>Simplified!G2</f>
        <v>6.0000000000000053E-2</v>
      </c>
      <c r="O2" s="18">
        <v>12</v>
      </c>
    </row>
    <row r="3" spans="1:15" x14ac:dyDescent="0.35">
      <c r="A3" s="12">
        <v>2</v>
      </c>
      <c r="B3" s="18">
        <v>81</v>
      </c>
      <c r="C3" s="12" t="str">
        <v>Oscar Piastri</v>
      </c>
      <c r="D3" s="18" t="str">
        <v>McLaren</v>
      </c>
      <c r="E3" s="2">
        <v>5.827</v>
      </c>
      <c r="G3" s="45"/>
      <c r="H3" s="18">
        <v>12</v>
      </c>
      <c r="I3" s="12" t="s">
        <v>41</v>
      </c>
      <c r="J3" s="18" t="s">
        <v>31</v>
      </c>
      <c r="K3" s="2">
        <f>Ratings!E7</f>
        <v>0.96</v>
      </c>
      <c r="M3" s="1">
        <v>1</v>
      </c>
      <c r="N3" s="29">
        <f>Simplified!G4</f>
        <v>2.859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1.02</v>
      </c>
      <c r="G4" s="45">
        <f>K4-K5</f>
        <v>2.859</v>
      </c>
      <c r="H4" s="1">
        <v>1</v>
      </c>
      <c r="I4" s="12" t="s">
        <v>43</v>
      </c>
      <c r="J4" s="1" t="s">
        <v>30</v>
      </c>
      <c r="K4" s="2">
        <f>Ratings!E8</f>
        <v>8.6859999999999999</v>
      </c>
      <c r="M4" s="3">
        <v>16</v>
      </c>
      <c r="N4" s="29">
        <f>Simplified!G6</f>
        <v>-0.29400000000000004</v>
      </c>
      <c r="O4" s="3">
        <v>44</v>
      </c>
    </row>
    <row r="5" spans="1:15" x14ac:dyDescent="0.35">
      <c r="A5" s="12">
        <v>4</v>
      </c>
      <c r="B5" s="1">
        <v>43</v>
      </c>
      <c r="C5" s="12" t="str">
        <v>Franco Colapinto</v>
      </c>
      <c r="D5" s="1" t="str">
        <v>Alpine</v>
      </c>
      <c r="E5" s="2">
        <v>1.02</v>
      </c>
      <c r="G5" s="45"/>
      <c r="H5" s="1">
        <v>81</v>
      </c>
      <c r="I5" s="12" t="s">
        <v>44</v>
      </c>
      <c r="J5" s="1" t="s">
        <v>30</v>
      </c>
      <c r="K5" s="2">
        <f>Ratings!E9</f>
        <v>5.827</v>
      </c>
      <c r="M5" s="4">
        <v>3</v>
      </c>
      <c r="N5" s="29">
        <f>Simplified!G8</f>
        <v>3.0000000000000027E-2</v>
      </c>
      <c r="O5" s="4">
        <v>6</v>
      </c>
    </row>
    <row r="6" spans="1:15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1.02</v>
      </c>
      <c r="G6" s="45">
        <f>K6-K7</f>
        <v>-0.29400000000000004</v>
      </c>
      <c r="H6" s="3">
        <v>16</v>
      </c>
      <c r="I6" s="12" t="s">
        <v>45</v>
      </c>
      <c r="J6" s="3" t="s">
        <v>32</v>
      </c>
      <c r="K6" s="2">
        <f>Ratings!E10</f>
        <v>0.69599999999999995</v>
      </c>
      <c r="M6" s="5">
        <v>10</v>
      </c>
      <c r="N6" s="29">
        <f>Simplified!G10</f>
        <v>-0.54</v>
      </c>
      <c r="O6" s="5">
        <v>43</v>
      </c>
    </row>
    <row r="7" spans="1:15" x14ac:dyDescent="0.35">
      <c r="A7" s="12">
        <v>6</v>
      </c>
      <c r="B7" s="3">
        <v>11</v>
      </c>
      <c r="C7" s="12" t="str">
        <v>Sergio Perez</v>
      </c>
      <c r="D7" s="3" t="str">
        <v>Cadillac</v>
      </c>
      <c r="E7" s="2">
        <v>1.02</v>
      </c>
      <c r="G7" s="45"/>
      <c r="H7" s="3">
        <v>44</v>
      </c>
      <c r="I7" s="12" t="s">
        <v>46</v>
      </c>
      <c r="J7" s="3" t="s">
        <v>32</v>
      </c>
      <c r="K7" s="2">
        <f>Ratings!E11</f>
        <v>0.99</v>
      </c>
      <c r="M7" s="6">
        <v>30</v>
      </c>
      <c r="N7" s="29">
        <f>Simplified!G12</f>
        <v>-5.9999999999999942E-2</v>
      </c>
      <c r="O7" s="6">
        <v>41</v>
      </c>
    </row>
    <row r="8" spans="1:15" x14ac:dyDescent="0.35">
      <c r="A8" s="12">
        <v>7</v>
      </c>
      <c r="B8" s="4">
        <v>44</v>
      </c>
      <c r="C8" s="12" t="str">
        <v>Lewis Hamilton</v>
      </c>
      <c r="D8" s="4" t="str">
        <v>Ferrari</v>
      </c>
      <c r="E8" s="2">
        <v>0.99</v>
      </c>
      <c r="G8" s="45">
        <f>K8-K9</f>
        <v>3.0000000000000027E-2</v>
      </c>
      <c r="H8" s="4">
        <v>3</v>
      </c>
      <c r="I8" s="12" t="s">
        <v>47</v>
      </c>
      <c r="J8" s="4" t="s">
        <v>33</v>
      </c>
      <c r="K8" s="2">
        <f>Ratings!E12</f>
        <v>0.92999999999999994</v>
      </c>
      <c r="M8" s="7">
        <v>31</v>
      </c>
      <c r="N8" s="29">
        <f>Simplified!G14</f>
        <v>5.9999999999999942E-2</v>
      </c>
      <c r="O8" s="7">
        <v>87</v>
      </c>
    </row>
    <row r="9" spans="1:15" x14ac:dyDescent="0.35">
      <c r="A9" s="12">
        <v>8</v>
      </c>
      <c r="B9" s="4">
        <v>12</v>
      </c>
      <c r="C9" s="12" t="str">
        <v>Kimi Antonelli</v>
      </c>
      <c r="D9" s="4" t="str">
        <v>Mercedes</v>
      </c>
      <c r="E9" s="2">
        <v>0.96</v>
      </c>
      <c r="G9" s="45"/>
      <c r="H9" s="4">
        <v>6</v>
      </c>
      <c r="I9" s="12" t="s">
        <v>48</v>
      </c>
      <c r="J9" s="4" t="s">
        <v>33</v>
      </c>
      <c r="K9" s="2">
        <f>Ratings!E13</f>
        <v>0.89999999999999991</v>
      </c>
      <c r="M9" s="8">
        <v>55</v>
      </c>
      <c r="N9" s="29">
        <f>Simplified!G16</f>
        <v>0.18000000000000005</v>
      </c>
      <c r="O9" s="8">
        <v>23</v>
      </c>
    </row>
    <row r="10" spans="1:15" x14ac:dyDescent="0.35">
      <c r="A10" s="12">
        <v>9</v>
      </c>
      <c r="B10" s="5">
        <v>27</v>
      </c>
      <c r="C10" s="12" t="str">
        <v>Nico Hulkenberg</v>
      </c>
      <c r="D10" s="5" t="str">
        <v>Audi</v>
      </c>
      <c r="E10" s="2">
        <v>0.96</v>
      </c>
      <c r="G10" s="45">
        <f>K10-K11</f>
        <v>-0.54</v>
      </c>
      <c r="H10" s="5">
        <v>10</v>
      </c>
      <c r="I10" s="12" t="s">
        <v>49</v>
      </c>
      <c r="J10" s="5" t="s">
        <v>34</v>
      </c>
      <c r="K10" s="2">
        <f>Ratings!E14</f>
        <v>0.48</v>
      </c>
      <c r="M10" s="9">
        <v>27</v>
      </c>
      <c r="N10" s="29">
        <f>Simplified!G18</f>
        <v>6.5999999999999948E-2</v>
      </c>
      <c r="O10" s="9">
        <v>5</v>
      </c>
    </row>
    <row r="11" spans="1:15" x14ac:dyDescent="0.35">
      <c r="A11" s="12">
        <v>10</v>
      </c>
      <c r="B11" s="5">
        <v>3</v>
      </c>
      <c r="C11" s="12" t="str">
        <v>Max Verstappen</v>
      </c>
      <c r="D11" s="5" t="str">
        <v>Red Bull</v>
      </c>
      <c r="E11" s="2">
        <v>0.92999999999999994</v>
      </c>
      <c r="G11" s="45"/>
      <c r="H11" s="5">
        <v>43</v>
      </c>
      <c r="I11" s="12" t="s">
        <v>50</v>
      </c>
      <c r="J11" s="5" t="s">
        <v>34</v>
      </c>
      <c r="K11" s="2">
        <f>Ratings!E15</f>
        <v>1.02</v>
      </c>
      <c r="M11" s="10">
        <v>11</v>
      </c>
      <c r="N11" s="29">
        <f>Simplified!G20</f>
        <v>0.9</v>
      </c>
      <c r="O11" s="10">
        <v>77</v>
      </c>
    </row>
    <row r="12" spans="1:15" x14ac:dyDescent="0.35">
      <c r="A12" s="12">
        <v>11</v>
      </c>
      <c r="B12" s="6">
        <v>6</v>
      </c>
      <c r="C12" s="12" t="str">
        <v>Isack Hadjar</v>
      </c>
      <c r="D12" s="6" t="str">
        <v>Red Bull</v>
      </c>
      <c r="E12" s="2">
        <v>0.89999999999999991</v>
      </c>
      <c r="G12" s="45">
        <f>K12-K13</f>
        <v>-5.9999999999999942E-2</v>
      </c>
      <c r="H12" s="6">
        <v>30</v>
      </c>
      <c r="I12" s="12" t="s">
        <v>51</v>
      </c>
      <c r="J12" s="6" t="s">
        <v>35</v>
      </c>
      <c r="K12" s="2">
        <f>Ratings!E16</f>
        <v>0.84</v>
      </c>
      <c r="M12" s="11">
        <v>14</v>
      </c>
      <c r="N12" s="29">
        <f>Simplified!G22</f>
        <v>0.17999999999999994</v>
      </c>
      <c r="O12" s="11">
        <v>18</v>
      </c>
    </row>
    <row r="13" spans="1:15" x14ac:dyDescent="0.35">
      <c r="A13" s="12">
        <v>12</v>
      </c>
      <c r="B13" s="6">
        <v>41</v>
      </c>
      <c r="C13" s="12" t="str">
        <v>Arvid Lindblad</v>
      </c>
      <c r="D13" s="6" t="str">
        <v>Racing Bulls</v>
      </c>
      <c r="E13" s="2">
        <v>0.89999999999999991</v>
      </c>
      <c r="G13" s="45"/>
      <c r="H13" s="6">
        <v>41</v>
      </c>
      <c r="I13" s="12" t="s">
        <v>52</v>
      </c>
      <c r="J13" s="6" t="s">
        <v>35</v>
      </c>
      <c r="K13" s="2">
        <f>Ratings!E17</f>
        <v>0.89999999999999991</v>
      </c>
    </row>
    <row r="14" spans="1:15" x14ac:dyDescent="0.35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0.89999999999999991</v>
      </c>
      <c r="G14" s="45">
        <f>K14-K15</f>
        <v>5.9999999999999942E-2</v>
      </c>
      <c r="H14" s="7">
        <v>31</v>
      </c>
      <c r="I14" s="12" t="s">
        <v>53</v>
      </c>
      <c r="J14" s="7" t="s">
        <v>36</v>
      </c>
      <c r="K14" s="2">
        <f>Ratings!E18</f>
        <v>0.84</v>
      </c>
    </row>
    <row r="15" spans="1:15" x14ac:dyDescent="0.35">
      <c r="A15" s="12">
        <v>14</v>
      </c>
      <c r="B15" s="7">
        <v>5</v>
      </c>
      <c r="C15" s="12" t="str">
        <v>Gabriel Bortoleto</v>
      </c>
      <c r="D15" s="7" t="str">
        <v>Audi</v>
      </c>
      <c r="E15" s="2">
        <v>0.89400000000000002</v>
      </c>
      <c r="G15" s="45"/>
      <c r="H15" s="7">
        <v>87</v>
      </c>
      <c r="I15" s="12" t="s">
        <v>54</v>
      </c>
      <c r="J15" s="7" t="s">
        <v>36</v>
      </c>
      <c r="K15" s="2">
        <f>Ratings!E19</f>
        <v>0.78</v>
      </c>
    </row>
    <row r="16" spans="1:15" x14ac:dyDescent="0.35">
      <c r="A16" s="12">
        <v>15</v>
      </c>
      <c r="B16" s="8">
        <v>30</v>
      </c>
      <c r="C16" s="12" t="str">
        <v>Liam Lawson</v>
      </c>
      <c r="D16" s="8" t="str">
        <v>Racing Bulls</v>
      </c>
      <c r="E16" s="2">
        <v>0.84</v>
      </c>
      <c r="G16" s="45">
        <f>K16-K17</f>
        <v>0.18000000000000005</v>
      </c>
      <c r="H16" s="8">
        <v>55</v>
      </c>
      <c r="I16" s="12" t="s">
        <v>55</v>
      </c>
      <c r="J16" s="8" t="s">
        <v>37</v>
      </c>
      <c r="K16" s="2">
        <f>Ratings!E20</f>
        <v>1.02</v>
      </c>
    </row>
    <row r="17" spans="1:11" x14ac:dyDescent="0.35">
      <c r="A17" s="12">
        <v>16</v>
      </c>
      <c r="B17" s="8">
        <v>31</v>
      </c>
      <c r="C17" s="12" t="str">
        <v>Esteban Ocon</v>
      </c>
      <c r="D17" s="8" t="str">
        <v>Hass</v>
      </c>
      <c r="E17" s="2">
        <v>0.84</v>
      </c>
      <c r="G17" s="45"/>
      <c r="H17" s="8">
        <v>23</v>
      </c>
      <c r="I17" s="12" t="s">
        <v>56</v>
      </c>
      <c r="J17" s="8" t="s">
        <v>37</v>
      </c>
      <c r="K17" s="2">
        <f>Ratings!E21</f>
        <v>0.84</v>
      </c>
    </row>
    <row r="18" spans="1:11" x14ac:dyDescent="0.35">
      <c r="A18" s="12">
        <v>17</v>
      </c>
      <c r="B18" s="9">
        <v>23</v>
      </c>
      <c r="C18" s="12" t="str">
        <v>Alexander Albon</v>
      </c>
      <c r="D18" s="9" t="str">
        <v>Williams</v>
      </c>
      <c r="E18" s="2">
        <v>0.84</v>
      </c>
      <c r="G18" s="45">
        <f>K18-K19</f>
        <v>6.5999999999999948E-2</v>
      </c>
      <c r="H18" s="9">
        <v>27</v>
      </c>
      <c r="I18" s="12" t="s">
        <v>57</v>
      </c>
      <c r="J18" s="9" t="s">
        <v>38</v>
      </c>
      <c r="K18" s="2">
        <f>Ratings!E22</f>
        <v>0.96</v>
      </c>
    </row>
    <row r="19" spans="1:11" x14ac:dyDescent="0.35">
      <c r="A19" s="12">
        <v>18</v>
      </c>
      <c r="B19" s="9">
        <v>87</v>
      </c>
      <c r="C19" s="12" t="str">
        <v>Oliver Bearman</v>
      </c>
      <c r="D19" s="9" t="str">
        <v>Hass</v>
      </c>
      <c r="E19" s="2">
        <v>0.78</v>
      </c>
      <c r="G19" s="45"/>
      <c r="H19" s="9">
        <v>5</v>
      </c>
      <c r="I19" s="12" t="s">
        <v>58</v>
      </c>
      <c r="J19" s="9" t="s">
        <v>38</v>
      </c>
      <c r="K19" s="2">
        <f>Ratings!E23</f>
        <v>0.89400000000000002</v>
      </c>
    </row>
    <row r="20" spans="1:11" x14ac:dyDescent="0.35">
      <c r="A20" s="12">
        <v>19</v>
      </c>
      <c r="B20" s="10">
        <v>18</v>
      </c>
      <c r="C20" s="12" t="str">
        <v>Lance Stroll</v>
      </c>
      <c r="D20" s="10" t="str">
        <v>Aston Martin</v>
      </c>
      <c r="E20" s="2">
        <v>0.72</v>
      </c>
      <c r="G20" s="45">
        <f>K20-K21</f>
        <v>0.9</v>
      </c>
      <c r="H20" s="10">
        <v>11</v>
      </c>
      <c r="I20" s="12" t="s">
        <v>59</v>
      </c>
      <c r="J20" s="10" t="s">
        <v>39</v>
      </c>
      <c r="K20" s="2">
        <f>Ratings!E24</f>
        <v>1.02</v>
      </c>
    </row>
    <row r="21" spans="1:11" x14ac:dyDescent="0.35">
      <c r="A21" s="12">
        <v>20</v>
      </c>
      <c r="B21" s="10">
        <v>16</v>
      </c>
      <c r="C21" s="12" t="str">
        <v>Charles Leclerc</v>
      </c>
      <c r="D21" s="10" t="str">
        <v>Ferrari</v>
      </c>
      <c r="E21" s="2">
        <v>0.69599999999999995</v>
      </c>
      <c r="G21" s="45"/>
      <c r="H21" s="10">
        <v>77</v>
      </c>
      <c r="I21" s="12" t="s">
        <v>60</v>
      </c>
      <c r="J21" s="10" t="s">
        <v>39</v>
      </c>
      <c r="K21" s="2">
        <f>Ratings!E25</f>
        <v>0.12</v>
      </c>
    </row>
    <row r="22" spans="1:11" x14ac:dyDescent="0.35">
      <c r="A22" s="12">
        <v>21</v>
      </c>
      <c r="B22" s="11">
        <v>10</v>
      </c>
      <c r="C22" s="12" t="str">
        <v>Pierre Gasly</v>
      </c>
      <c r="D22" s="11" t="str">
        <v>Alpine</v>
      </c>
      <c r="E22" s="2">
        <v>0.48</v>
      </c>
      <c r="G22" s="45">
        <f>K22-K23</f>
        <v>0.17999999999999994</v>
      </c>
      <c r="H22" s="11">
        <v>14</v>
      </c>
      <c r="I22" s="12" t="s">
        <v>61</v>
      </c>
      <c r="J22" s="11" t="s">
        <v>40</v>
      </c>
      <c r="K22" s="2">
        <f>Ratings!E26</f>
        <v>0.89999999999999991</v>
      </c>
    </row>
    <row r="23" spans="1:11" x14ac:dyDescent="0.35">
      <c r="A23" s="12">
        <v>22</v>
      </c>
      <c r="B23" s="11">
        <v>77</v>
      </c>
      <c r="C23" s="12" t="str">
        <v>Valtteri Bottas</v>
      </c>
      <c r="D23" s="11" t="str">
        <v>Cadillac</v>
      </c>
      <c r="E23" s="2">
        <v>0.12</v>
      </c>
      <c r="G23" s="45"/>
      <c r="H23" s="11">
        <v>18</v>
      </c>
      <c r="I23" s="12" t="s">
        <v>62</v>
      </c>
      <c r="J23" s="11" t="s">
        <v>40</v>
      </c>
      <c r="K23" s="2">
        <f>Ratings!E27</f>
        <v>0.72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4 G2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2026-05-29T23:51:38Z</dcterms:modified>
</cp:coreProperties>
</file>